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Flow'!$A$1:$CX$93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21275</xdr:colOff>
      <xdr:row>19</xdr:row>
      <xdr:rowOff>59690</xdr:rowOff>
    </xdr:from>
    <xdr:to>
      <xdr:col>15</xdr:col>
      <xdr:colOff>30800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1402400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25</xdr:row>
      <xdr:rowOff>64719</xdr:rowOff>
    </xdr:from>
    <xdr:to>
      <xdr:col>15</xdr:col>
      <xdr:colOff>30800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02400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31</xdr:row>
      <xdr:rowOff>69839</xdr:rowOff>
    </xdr:from>
    <xdr:to>
      <xdr:col>15</xdr:col>
      <xdr:colOff>21275</xdr:colOff>
      <xdr:row>35</xdr:row>
      <xdr:rowOff>13909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894386" y="4399904"/>
          <a:ext cx="508013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31</xdr:row>
      <xdr:rowOff>69839</xdr:rowOff>
    </xdr:from>
    <xdr:to>
      <xdr:col>20</xdr:col>
      <xdr:colOff>52974</xdr:colOff>
      <xdr:row>35</xdr:row>
      <xdr:rowOff>13909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1402400" y="4399904"/>
          <a:ext cx="507949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38</xdr:row>
      <xdr:rowOff>48199</xdr:rowOff>
    </xdr:from>
    <xdr:to>
      <xdr:col>15</xdr:col>
      <xdr:colOff>8564</xdr:colOff>
      <xdr:row>41</xdr:row>
      <xdr:rowOff>19029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894386" y="5365054"/>
          <a:ext cx="495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8564</xdr:colOff>
      <xdr:row>38</xdr:row>
      <xdr:rowOff>48199</xdr:rowOff>
    </xdr:from>
    <xdr:to>
      <xdr:col>20</xdr:col>
      <xdr:colOff>52974</xdr:colOff>
      <xdr:row>41</xdr:row>
      <xdr:rowOff>19029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1389689" y="5365054"/>
          <a:ext cx="520659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33969</xdr:colOff>
      <xdr:row>16</xdr:row>
      <xdr:rowOff>25400</xdr:rowOff>
    </xdr:from>
    <xdr:to>
      <xdr:col>23</xdr:col>
      <xdr:colOff>8580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653094" y="2240915"/>
          <a:ext cx="14986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 [Run calculation]</a:t>
          </a:r>
        </a:p>
      </xdr:txBody>
    </xdr:sp>
    <xdr:clientData/>
  </xdr:twoCellAnchor>
  <xdr:twoCellAnchor editAs="oneCell">
    <xdr:from>
      <xdr:col>7</xdr:col>
      <xdr:colOff>46680</xdr:colOff>
      <xdr:row>22</xdr:row>
      <xdr:rowOff>30429</xdr:rowOff>
    </xdr:from>
    <xdr:to>
      <xdr:col>22</xdr:col>
      <xdr:colOff>91119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665805" y="3091764"/>
          <a:ext cx="14731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Average MAD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(range of months)</a:t>
          </a:r>
        </a:p>
      </xdr:txBody>
    </xdr:sp>
    <xdr:clientData/>
  </xdr:twoCellAnchor>
  <xdr:twoCellAnchor editAs="oneCell">
    <xdr:from>
      <xdr:col>3</xdr:col>
      <xdr:colOff>38100</xdr:colOff>
      <xdr:row>28</xdr:row>
      <xdr:rowOff>35549</xdr:rowOff>
    </xdr:from>
    <xdr:to>
      <xdr:col>27</xdr:col>
      <xdr:colOff>4450</xdr:colOff>
      <xdr:row>31</xdr:row>
      <xdr:rowOff>69839</xdr:rowOff>
    </xdr:to>
    <xdr:sp macro="" textlink="">
      <xdr:nvSpPr>
        <xdr:cNvPr id="5" name="Decision 5"/>
        <xdr:cNvSpPr/>
      </xdr:nvSpPr>
      <xdr:spPr>
        <a:xfrm>
          <a:off x="276225" y="3942704"/>
          <a:ext cx="2252350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Compare with Min MAD</a:t>
          </a:r>
        </a:p>
      </xdr:txBody>
    </xdr:sp>
    <xdr:clientData/>
  </xdr:twoCellAnchor>
  <xdr:twoCellAnchor editAs="oneCell">
    <xdr:from>
      <xdr:col>6</xdr:col>
      <xdr:colOff>27611</xdr:colOff>
      <xdr:row>35</xdr:row>
      <xdr:rowOff>13909</xdr:rowOff>
    </xdr:from>
    <xdr:to>
      <xdr:col>13</xdr:col>
      <xdr:colOff>46661</xdr:colOff>
      <xdr:row>38</xdr:row>
      <xdr:rowOff>48199</xdr:rowOff>
    </xdr:to>
    <xdr:sp macro="" textlink="">
      <xdr:nvSpPr>
        <xdr:cNvPr id="6" name="Process 6"/>
        <xdr:cNvSpPr/>
      </xdr:nvSpPr>
      <xdr:spPr>
        <a:xfrm>
          <a:off x="551486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</a:t>
          </a:r>
        </a:p>
      </xdr:txBody>
    </xdr:sp>
    <xdr:clientData/>
  </xdr:twoCellAnchor>
  <xdr:twoCellAnchor editAs="oneCell">
    <xdr:from>
      <xdr:col>16</xdr:col>
      <xdr:colOff>91074</xdr:colOff>
      <xdr:row>35</xdr:row>
      <xdr:rowOff>13909</xdr:rowOff>
    </xdr:from>
    <xdr:to>
      <xdr:col>24</xdr:col>
      <xdr:colOff>14874</xdr:colOff>
      <xdr:row>38</xdr:row>
      <xdr:rowOff>48199</xdr:rowOff>
    </xdr:to>
    <xdr:sp macro="" textlink="">
      <xdr:nvSpPr>
        <xdr:cNvPr id="7" name="Process 7"/>
        <xdr:cNvSpPr/>
      </xdr:nvSpPr>
      <xdr:spPr>
        <a:xfrm>
          <a:off x="1567449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6</xdr:col>
      <xdr:colOff>46649</xdr:colOff>
      <xdr:row>41</xdr:row>
      <xdr:rowOff>19029</xdr:rowOff>
    </xdr:from>
    <xdr:to>
      <xdr:col>23</xdr:col>
      <xdr:colOff>65730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570524" y="5758794"/>
          <a:ext cx="16383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result + status, Log</a:t>
          </a:r>
        </a:p>
      </xdr:txBody>
    </xdr:sp>
    <xdr:clientData/>
  </xdr:twoCellAnchor>
  <xdr:twoCellAnchor editAs="oneCell">
    <xdr:from>
      <xdr:col>5</xdr:col>
      <xdr:colOff>72066</xdr:colOff>
      <xdr:row>32</xdr:row>
      <xdr:rowOff>53298</xdr:rowOff>
    </xdr:from>
    <xdr:to>
      <xdr:col>11</xdr:col>
      <xdr:colOff>49206</xdr:colOff>
      <xdr:row>33</xdr:row>
      <xdr:rowOff>77428</xdr:rowOff>
    </xdr:to>
    <xdr:sp macro="" textlink="">
      <xdr:nvSpPr>
        <xdr:cNvPr id="12" name="Label 12"/>
        <xdr:cNvSpPr txBox="1"/>
      </xdr:nvSpPr>
      <xdr:spPr>
        <a:xfrm>
          <a:off x="500691" y="4524333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&gt;= Min MAD</a:t>
          </a:r>
        </a:p>
      </xdr:txBody>
    </xdr:sp>
    <xdr:clientData/>
  </xdr:twoCellAnchor>
  <xdr:twoCellAnchor editAs="oneCell">
    <xdr:from>
      <xdr:col>12</xdr:col>
      <xdr:colOff>82457</xdr:colOff>
      <xdr:row>33</xdr:row>
      <xdr:rowOff>128228</xdr:rowOff>
    </xdr:from>
    <xdr:to>
      <xdr:col>18</xdr:col>
      <xdr:colOff>12353</xdr:colOff>
      <xdr:row>35</xdr:row>
      <xdr:rowOff>11388</xdr:rowOff>
    </xdr:to>
    <xdr:sp macro="" textlink="">
      <xdr:nvSpPr>
        <xdr:cNvPr id="14" name="Label 14"/>
        <xdr:cNvSpPr txBox="1"/>
      </xdr:nvSpPr>
      <xdr:spPr>
        <a:xfrm>
          <a:off x="1177832" y="4740233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&lt; Min MAD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27880</xdr:colOff>
      <xdr:row>10</xdr:row>
      <xdr:rowOff>65163</xdr:rowOff>
    </xdr:from>
    <xdr:to>
      <xdr:col>32</xdr:col>
      <xdr:colOff>37405</xdr:colOff>
      <xdr:row>12</xdr:row>
      <xdr:rowOff>59020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028255" y="1465338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14</xdr:row>
      <xdr:rowOff>97403</xdr:rowOff>
    </xdr:from>
    <xdr:to>
      <xdr:col>32</xdr:col>
      <xdr:colOff>37405</xdr:colOff>
      <xdr:row>16</xdr:row>
      <xdr:rowOff>100229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028255" y="2061458"/>
          <a:ext cx="1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92433</xdr:colOff>
      <xdr:row>17</xdr:row>
      <xdr:rowOff>119420</xdr:rowOff>
    </xdr:from>
    <xdr:to>
      <xdr:col>27</xdr:col>
      <xdr:colOff>10289</xdr:colOff>
      <xdr:row>17</xdr:row>
      <xdr:rowOff>132120</xdr:rowOff>
    </xdr:to>
    <xdr:cxnSp macro="">
      <xdr:nvCxnSpPr>
        <xdr:cNvPr id="18" name="Connector 18"/>
        <xdr:cNvCxnSpPr>
          <a:stCxn id="3" idx="3"/>
          <a:endCxn id="7" idx="1"/>
        </xdr:cNvCxnSpPr>
      </xdr:nvCxnSpPr>
      <xdr:spPr>
        <a:xfrm>
          <a:off x="2045058" y="2506385"/>
          <a:ext cx="48935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18</xdr:row>
      <xdr:rowOff>138611</xdr:rowOff>
    </xdr:from>
    <xdr:to>
      <xdr:col>32</xdr:col>
      <xdr:colOff>72404</xdr:colOff>
      <xdr:row>20</xdr:row>
      <xdr:rowOff>132469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028255" y="2666546"/>
          <a:ext cx="44524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6056</xdr:colOff>
      <xdr:row>22</xdr:row>
      <xdr:rowOff>10690</xdr:rowOff>
    </xdr:from>
    <xdr:to>
      <xdr:col>26</xdr:col>
      <xdr:colOff>65531</xdr:colOff>
      <xdr:row>22</xdr:row>
      <xdr:rowOff>23390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2053931" y="3102505"/>
          <a:ext cx="4404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72404</xdr:colOff>
      <xdr:row>23</xdr:row>
      <xdr:rowOff>29881</xdr:rowOff>
    </xdr:from>
    <xdr:to>
      <xdr:col>35</xdr:col>
      <xdr:colOff>71357</xdr:colOff>
      <xdr:row>25</xdr:row>
      <xdr:rowOff>32707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072779" y="3262666"/>
          <a:ext cx="284702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71357</xdr:colOff>
      <xdr:row>27</xdr:row>
      <xdr:rowOff>71090</xdr:rowOff>
    </xdr:from>
    <xdr:to>
      <xdr:col>40</xdr:col>
      <xdr:colOff>22225</xdr:colOff>
      <xdr:row>30</xdr:row>
      <xdr:rowOff>23533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357482" y="3867755"/>
          <a:ext cx="427117" cy="3753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70951</xdr:colOff>
      <xdr:row>31</xdr:row>
      <xdr:rowOff>42724</xdr:rowOff>
    </xdr:from>
    <xdr:to>
      <xdr:col>54</xdr:col>
      <xdr:colOff>76777</xdr:colOff>
      <xdr:row>31</xdr:row>
      <xdr:rowOff>55424</xdr:rowOff>
    </xdr:to>
    <xdr:cxnSp macro="">
      <xdr:nvCxnSpPr>
        <xdr:cNvPr id="23" name="Connector 23"/>
        <xdr:cNvCxnSpPr>
          <a:stCxn id="10" idx="3"/>
          <a:endCxn id="14" idx="1"/>
        </xdr:cNvCxnSpPr>
      </xdr:nvCxnSpPr>
      <xdr:spPr>
        <a:xfrm>
          <a:off x="4309576" y="4403269"/>
          <a:ext cx="8630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32</xdr:row>
      <xdr:rowOff>61915</xdr:rowOff>
    </xdr:from>
    <xdr:to>
      <xdr:col>40</xdr:col>
      <xdr:colOff>31749</xdr:colOff>
      <xdr:row>35</xdr:row>
      <xdr:rowOff>5518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3784600" y="4563430"/>
          <a:ext cx="1" cy="3665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37</xdr:row>
      <xdr:rowOff>43900</xdr:rowOff>
    </xdr:from>
    <xdr:to>
      <xdr:col>40</xdr:col>
      <xdr:colOff>22224</xdr:colOff>
      <xdr:row>39</xdr:row>
      <xdr:rowOff>117838</xdr:rowOff>
    </xdr:to>
    <xdr:cxnSp macro="">
      <xdr:nvCxnSpPr>
        <xdr:cNvPr id="25" name="Connector 25"/>
        <xdr:cNvCxnSpPr>
          <a:stCxn id="11" idx="2"/>
          <a:endCxn id="12" idx="0"/>
        </xdr:cNvCxnSpPr>
      </xdr:nvCxnSpPr>
      <xdr:spPr>
        <a:xfrm flipH="1">
          <a:off x="2894808" y="5250265"/>
          <a:ext cx="889791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37</xdr:row>
      <xdr:rowOff>43900</xdr:rowOff>
    </xdr:from>
    <xdr:to>
      <xdr:col>46</xdr:col>
      <xdr:colOff>20193</xdr:colOff>
      <xdr:row>39</xdr:row>
      <xdr:rowOff>117838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3784600" y="5250265"/>
          <a:ext cx="569468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29" name="Connector 29"/>
        <xdr:cNvCxnSpPr>
          <a:stCxn id="12" idx="2"/>
          <a:endCxn id="15" idx="0"/>
        </xdr:cNvCxnSpPr>
      </xdr:nvCxnSpPr>
      <xdr:spPr>
        <a:xfrm>
          <a:off x="2894808" y="5926466"/>
          <a:ext cx="251811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20193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30" name="Connector 30"/>
        <xdr:cNvCxnSpPr>
          <a:stCxn id="13" idx="2"/>
          <a:endCxn id="15" idx="0"/>
        </xdr:cNvCxnSpPr>
      </xdr:nvCxnSpPr>
      <xdr:spPr>
        <a:xfrm>
          <a:off x="4354068" y="5926466"/>
          <a:ext cx="105885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93854</xdr:colOff>
      <xdr:row>16</xdr:row>
      <xdr:rowOff>100229</xdr:rowOff>
    </xdr:from>
    <xdr:to>
      <xdr:col>21</xdr:col>
      <xdr:colOff>92433</xdr:colOff>
      <xdr:row>18</xdr:row>
      <xdr:rowOff>138611</xdr:rowOff>
    </xdr:to>
    <xdr:sp macro="" textlink="">
      <xdr:nvSpPr>
        <xdr:cNvPr id="3" name="Db 3"/>
        <xdr:cNvSpPr/>
      </xdr:nvSpPr>
      <xdr:spPr>
        <a:xfrm>
          <a:off x="808229" y="2346224"/>
          <a:ext cx="1236828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80748</xdr:colOff>
      <xdr:row>20</xdr:row>
      <xdr:rowOff>132469</xdr:rowOff>
    </xdr:from>
    <xdr:to>
      <xdr:col>22</xdr:col>
      <xdr:colOff>6056</xdr:colOff>
      <xdr:row>23</xdr:row>
      <xdr:rowOff>29881</xdr:rowOff>
    </xdr:to>
    <xdr:sp macro="" textlink="">
      <xdr:nvSpPr>
        <xdr:cNvPr id="4" name="Db 4"/>
        <xdr:cNvSpPr/>
      </xdr:nvSpPr>
      <xdr:spPr>
        <a:xfrm>
          <a:off x="318873" y="2942344"/>
          <a:ext cx="1735057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27</xdr:col>
      <xdr:colOff>23646</xdr:colOff>
      <xdr:row>8</xdr:row>
      <xdr:rowOff>26781</xdr:rowOff>
    </xdr:from>
    <xdr:to>
      <xdr:col>37</xdr:col>
      <xdr:colOff>32113</xdr:colOff>
      <xdr:row>10</xdr:row>
      <xdr:rowOff>65163</xdr:rowOff>
    </xdr:to>
    <xdr:sp macro="" textlink="">
      <xdr:nvSpPr>
        <xdr:cNvPr id="5" name="Process 5"/>
        <xdr:cNvSpPr/>
      </xdr:nvSpPr>
      <xdr:spPr>
        <a:xfrm>
          <a:off x="2547771" y="1145016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23646</xdr:colOff>
      <xdr:row>12</xdr:row>
      <xdr:rowOff>59020</xdr:rowOff>
    </xdr:from>
    <xdr:to>
      <xdr:col>37</xdr:col>
      <xdr:colOff>32113</xdr:colOff>
      <xdr:row>14</xdr:row>
      <xdr:rowOff>97403</xdr:rowOff>
    </xdr:to>
    <xdr:sp macro="" textlink="">
      <xdr:nvSpPr>
        <xdr:cNvPr id="6" name="Process 6"/>
        <xdr:cNvSpPr/>
      </xdr:nvSpPr>
      <xdr:spPr>
        <a:xfrm>
          <a:off x="2547771" y="1741135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10289</xdr:colOff>
      <xdr:row>16</xdr:row>
      <xdr:rowOff>100229</xdr:rowOff>
    </xdr:from>
    <xdr:to>
      <xdr:col>37</xdr:col>
      <xdr:colOff>45470</xdr:colOff>
      <xdr:row>18</xdr:row>
      <xdr:rowOff>138611</xdr:rowOff>
    </xdr:to>
    <xdr:sp macro="" textlink="">
      <xdr:nvSpPr>
        <xdr:cNvPr id="7" name="Process 7"/>
        <xdr:cNvSpPr/>
      </xdr:nvSpPr>
      <xdr:spPr>
        <a:xfrm>
          <a:off x="2534414" y="2346224"/>
          <a:ext cx="987681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65531</xdr:colOff>
      <xdr:row>20</xdr:row>
      <xdr:rowOff>132469</xdr:rowOff>
    </xdr:from>
    <xdr:to>
      <xdr:col>38</xdr:col>
      <xdr:colOff>79278</xdr:colOff>
      <xdr:row>23</xdr:row>
      <xdr:rowOff>29881</xdr:rowOff>
    </xdr:to>
    <xdr:sp macro="" textlink="">
      <xdr:nvSpPr>
        <xdr:cNvPr id="8" name="Process 8"/>
        <xdr:cNvSpPr/>
      </xdr:nvSpPr>
      <xdr:spPr>
        <a:xfrm>
          <a:off x="2494406" y="2942344"/>
          <a:ext cx="1156747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28895</xdr:colOff>
      <xdr:row>25</xdr:row>
      <xdr:rowOff>32707</xdr:rowOff>
    </xdr:from>
    <xdr:to>
      <xdr:col>42</xdr:col>
      <xdr:colOff>18568</xdr:colOff>
      <xdr:row>27</xdr:row>
      <xdr:rowOff>71090</xdr:rowOff>
    </xdr:to>
    <xdr:sp macro="" textlink="">
      <xdr:nvSpPr>
        <xdr:cNvPr id="9" name="Process 9"/>
        <xdr:cNvSpPr/>
      </xdr:nvSpPr>
      <xdr:spPr>
        <a:xfrm>
          <a:off x="2743520" y="3547432"/>
          <a:ext cx="122792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68748</xdr:colOff>
      <xdr:row>30</xdr:row>
      <xdr:rowOff>23533</xdr:rowOff>
    </xdr:from>
    <xdr:to>
      <xdr:col>45</xdr:col>
      <xdr:colOff>70951</xdr:colOff>
      <xdr:row>32</xdr:row>
      <xdr:rowOff>61915</xdr:rowOff>
    </xdr:to>
    <xdr:sp macro="" textlink="">
      <xdr:nvSpPr>
        <xdr:cNvPr id="10" name="Process 10"/>
        <xdr:cNvSpPr/>
      </xdr:nvSpPr>
      <xdr:spPr>
        <a:xfrm>
          <a:off x="3259623" y="4243108"/>
          <a:ext cx="1049952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34744</xdr:colOff>
      <xdr:row>35</xdr:row>
      <xdr:rowOff>5518</xdr:rowOff>
    </xdr:from>
    <xdr:to>
      <xdr:col>45</xdr:col>
      <xdr:colOff>9705</xdr:colOff>
      <xdr:row>37</xdr:row>
      <xdr:rowOff>43900</xdr:rowOff>
    </xdr:to>
    <xdr:sp macro="" textlink="">
      <xdr:nvSpPr>
        <xdr:cNvPr id="11" name="Decision 11"/>
        <xdr:cNvSpPr/>
      </xdr:nvSpPr>
      <xdr:spPr>
        <a:xfrm>
          <a:off x="3320869" y="4929943"/>
          <a:ext cx="927460" cy="32032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24694</xdr:colOff>
      <xdr:row>39</xdr:row>
      <xdr:rowOff>117838</xdr:rowOff>
    </xdr:from>
    <xdr:to>
      <xdr:col>37</xdr:col>
      <xdr:colOff>49923</xdr:colOff>
      <xdr:row>42</xdr:row>
      <xdr:rowOff>15251</xdr:rowOff>
    </xdr:to>
    <xdr:sp macro="" textlink="">
      <xdr:nvSpPr>
        <xdr:cNvPr id="12" name="Process 12"/>
        <xdr:cNvSpPr/>
      </xdr:nvSpPr>
      <xdr:spPr>
        <a:xfrm>
          <a:off x="2263069" y="5606143"/>
          <a:ext cx="1263478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81887</xdr:colOff>
      <xdr:row>39</xdr:row>
      <xdr:rowOff>117838</xdr:rowOff>
    </xdr:from>
    <xdr:to>
      <xdr:col>52</xdr:col>
      <xdr:colOff>53750</xdr:colOff>
      <xdr:row>42</xdr:row>
      <xdr:rowOff>15251</xdr:rowOff>
    </xdr:to>
    <xdr:sp macro="" textlink="">
      <xdr:nvSpPr>
        <xdr:cNvPr id="13" name="Process 13"/>
        <xdr:cNvSpPr/>
      </xdr:nvSpPr>
      <xdr:spPr>
        <a:xfrm>
          <a:off x="3749012" y="5606143"/>
          <a:ext cx="121011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54</xdr:col>
      <xdr:colOff>76777</xdr:colOff>
      <xdr:row>29</xdr:row>
      <xdr:rowOff>73855</xdr:rowOff>
    </xdr:from>
    <xdr:to>
      <xdr:col>69</xdr:col>
      <xdr:colOff>491</xdr:colOff>
      <xdr:row>33</xdr:row>
      <xdr:rowOff>11593</xdr:rowOff>
    </xdr:to>
    <xdr:sp macro="" textlink="">
      <xdr:nvSpPr>
        <xdr:cNvPr id="14" name="Db 14"/>
        <xdr:cNvSpPr/>
      </xdr:nvSpPr>
      <xdr:spPr>
        <a:xfrm>
          <a:off x="5172652" y="4152460"/>
          <a:ext cx="1352464" cy="5016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76809</xdr:colOff>
      <xdr:row>44</xdr:row>
      <xdr:rowOff>18064</xdr:rowOff>
    </xdr:from>
    <xdr:to>
      <xdr:col>59</xdr:col>
      <xdr:colOff>81042</xdr:colOff>
      <xdr:row>46</xdr:row>
      <xdr:rowOff>56446</xdr:rowOff>
    </xdr:to>
    <xdr:sp macro="" textlink="">
      <xdr:nvSpPr>
        <xdr:cNvPr id="15" name="Db 15"/>
        <xdr:cNvSpPr/>
      </xdr:nvSpPr>
      <xdr:spPr>
        <a:xfrm>
          <a:off x="5172684" y="6211219"/>
          <a:ext cx="480483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35577</xdr:colOff>
      <xdr:row>37</xdr:row>
      <xdr:rowOff>89920</xdr:rowOff>
    </xdr:from>
    <xdr:to>
      <xdr:col>34</xdr:col>
      <xdr:colOff>3954</xdr:colOff>
      <xdr:row>38</xdr:row>
      <xdr:rowOff>98175</xdr:rowOff>
    </xdr:to>
    <xdr:sp macro="" textlink="">
      <xdr:nvSpPr>
        <xdr:cNvPr id="26" name="Label 26"/>
        <xdr:cNvSpPr txBox="1"/>
      </xdr:nvSpPr>
      <xdr:spPr>
        <a:xfrm>
          <a:off x="3035952" y="529628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41730</xdr:colOff>
      <xdr:row>39</xdr:row>
      <xdr:rowOff>8005</xdr:rowOff>
    </xdr:from>
    <xdr:to>
      <xdr:col>43</xdr:col>
      <xdr:colOff>51445</xdr:colOff>
      <xdr:row>40</xdr:row>
      <xdr:rowOff>16260</xdr:rowOff>
    </xdr:to>
    <xdr:sp macro="" textlink="">
      <xdr:nvSpPr>
        <xdr:cNvPr id="28" name="Label 28"/>
        <xdr:cNvSpPr txBox="1"/>
      </xdr:nvSpPr>
      <xdr:spPr>
        <a:xfrm>
          <a:off x="3899355" y="549631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X6 Crossdock - DAD Volume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calculate the average MAD of every crossdock part over the range of months set in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system master and to set the part status in TB_M_PART_CANDIDATE: Active when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Part List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document)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73" t="inlineStr">
        <is>
          <t>TB_R_PART_DAD_RESULT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if successful: average MAD and calculated status of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74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every calculated part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TB_M_PART_CANDIDATE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PART_STATUS of the parts whose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status changes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TB_H_PART_CANDIDATE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history record per status change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(event CALC, source BATCH)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attempt (SUCCESS / FAILED);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2" t="n"/>
      <c r="BT28" s="971" t="n"/>
      <c r="BU28" s="971" t="n"/>
      <c r="BV28" s="969" t="n"/>
      <c r="BW28" s="970" t="inlineStr">
        <is>
          <t>last success date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Range of months (N)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Number of months before the run month, from the system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master (e.g. 6)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Run month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Month of the run date, YYYYMM; = calculation period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3</v>
      </c>
      <c r="BD36" s="986" t="inlineStr">
        <is>
          <t>User</t>
        </is>
      </c>
      <c r="BE36" s="987" t="n"/>
      <c r="BF36" s="987" t="n"/>
      <c r="BG36" s="987" t="n"/>
      <c r="BH36" s="987" t="n"/>
      <c r="BI36" s="987" t="n"/>
      <c r="BJ36" s="987" t="n"/>
      <c r="BK36" s="987" t="n"/>
      <c r="BL36" s="987" t="n"/>
      <c r="BM36" s="987" t="n"/>
      <c r="BN36" s="987" t="n"/>
      <c r="BO36" s="987" t="n"/>
      <c r="BP36" s="988" t="n"/>
      <c r="BQ36" s="986" t="inlineStr">
        <is>
          <t>Batch user ID (scheduler / retry) or login user (manual trigger)</t>
        </is>
      </c>
      <c r="BR36" s="987" t="n"/>
      <c r="BS36" s="987" t="n"/>
      <c r="BT36" s="987" t="n"/>
      <c r="BU36" s="987" t="n"/>
      <c r="BV36" s="987" t="n"/>
      <c r="BW36" s="987" t="n"/>
      <c r="BX36" s="987" t="n"/>
      <c r="BY36" s="987" t="n"/>
      <c r="BZ36" s="987" t="n"/>
      <c r="CA36" s="987" t="n"/>
      <c r="CB36" s="987" t="n"/>
      <c r="CC36" s="987" t="n"/>
      <c r="CD36" s="987" t="n"/>
      <c r="CE36" s="987" t="n"/>
      <c r="CF36" s="987" t="n"/>
      <c r="CG36" s="987" t="n"/>
      <c r="CH36" s="987" t="n"/>
      <c r="CI36" s="987" t="n"/>
      <c r="CJ36" s="987" t="n"/>
      <c r="CK36" s="987" t="n"/>
      <c r="CL36" s="987" t="n"/>
      <c r="CM36" s="987" t="n"/>
      <c r="CN36" s="987" t="n"/>
      <c r="CO36" s="987" t="n"/>
      <c r="CP36" s="987" t="n"/>
      <c r="CQ36" s="987" t="n"/>
      <c r="CR36" s="987" t="n"/>
      <c r="CS36" s="987" t="n"/>
      <c r="CT36" s="987" t="n"/>
      <c r="CU36" s="988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9" t="n">
        <v>1</v>
      </c>
      <c r="BD40" s="988" t="n"/>
      <c r="BE40" s="986" t="inlineStr">
        <is>
          <t>PART_NO</t>
        </is>
      </c>
      <c r="BF40" s="987" t="n"/>
      <c r="BG40" s="987" t="n"/>
      <c r="BH40" s="987" t="n"/>
      <c r="BI40" s="987" t="n"/>
      <c r="BJ40" s="987" t="n"/>
      <c r="BK40" s="987" t="n"/>
      <c r="BL40" s="987" t="n"/>
      <c r="BM40" s="987" t="n"/>
      <c r="BN40" s="987" t="n"/>
      <c r="BO40" s="987" t="n"/>
      <c r="BP40" s="987" t="n"/>
      <c r="BQ40" s="987" t="n"/>
      <c r="BR40" s="987" t="n"/>
      <c r="BS40" s="987" t="n"/>
      <c r="BT40" s="987" t="n"/>
      <c r="BU40" s="987" t="n"/>
      <c r="BV40" s="987" t="n"/>
      <c r="BW40" s="987" t="n"/>
      <c r="BX40" s="988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9" t="n">
        <v>2</v>
      </c>
      <c r="E54" s="1000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1000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3</v>
      </c>
      <c r="E56" s="1000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[Run calculation] on the Part List screen, enabled only when the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4</v>
      </c>
      <c r="E58" s="1000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1001" t="n"/>
      <c r="E59" s="1002" t="n"/>
      <c r="F59" s="961" t="n"/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59" t="n"/>
      <c r="P59" s="1002" t="inlineStr">
        <is>
          <t>the Part List screen.</t>
        </is>
      </c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61" t="n"/>
      <c r="AK59" s="961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85" t="n">
        <v>5</v>
      </c>
      <c r="E60" s="1003" t="inlineStr">
        <is>
          <t>Order</t>
        </is>
      </c>
      <c r="F60" s="987" t="n"/>
      <c r="G60" s="987" t="n"/>
      <c r="H60" s="987" t="n"/>
      <c r="I60" s="987" t="n"/>
      <c r="J60" s="987" t="n"/>
      <c r="K60" s="987" t="n"/>
      <c r="L60" s="987" t="n"/>
      <c r="M60" s="987" t="n"/>
      <c r="N60" s="987" t="n"/>
      <c r="O60" s="988" t="n"/>
      <c r="P60" s="1003" t="inlineStr">
        <is>
          <t>Runs after the Actual Demand Summary Sync has finished.</t>
        </is>
      </c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  <c r="Z60" s="987" t="n"/>
      <c r="AA60" s="987" t="n"/>
      <c r="AB60" s="987" t="n"/>
      <c r="AC60" s="987" t="n"/>
      <c r="AD60" s="987" t="n"/>
      <c r="AE60" s="987" t="n"/>
      <c r="AF60" s="987" t="n"/>
      <c r="AG60" s="987" t="n"/>
      <c r="AH60" s="987" t="n"/>
      <c r="AI60" s="987" t="n"/>
      <c r="AJ60" s="987" t="n"/>
      <c r="AK60" s="987" t="n"/>
      <c r="AL60" s="987" t="n"/>
      <c r="AM60" s="987" t="n"/>
      <c r="AN60" s="987" t="n"/>
      <c r="AO60" s="987" t="n"/>
      <c r="AP60" s="987" t="n"/>
      <c r="AQ60" s="987" t="n"/>
      <c r="AR60" s="987" t="n"/>
      <c r="AS60" s="987" t="n"/>
      <c r="AT60" s="987" t="n"/>
      <c r="AU60" s="987" t="n"/>
      <c r="AV60" s="988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3" t="n"/>
    </row>
  </sheetData>
  <mergeCells count="125">
    <mergeCell ref="BW26:CV26"/>
    <mergeCell ref="BE28:BR28"/>
    <mergeCell ref="BW10:CV10"/>
    <mergeCell ref="BC15:BD15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W28:CV28"/>
    <mergeCell ref="AT4:BV4"/>
    <mergeCell ref="BQ31:CU32"/>
    <mergeCell ref="BC17:BD17"/>
    <mergeCell ref="BW12:CV12"/>
    <mergeCell ref="E51:O52"/>
    <mergeCell ref="AI3:AS3"/>
    <mergeCell ref="P54:AV54"/>
    <mergeCell ref="H2:N2"/>
    <mergeCell ref="BW14:CV14"/>
    <mergeCell ref="BC28:BD28"/>
    <mergeCell ref="BW23:CV23"/>
    <mergeCell ref="BE10:BR10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BE40:BX40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C23:BD23"/>
    <mergeCell ref="BS20:BV20"/>
    <mergeCell ref="BQ36:CU36"/>
    <mergeCell ref="P58:AV58"/>
    <mergeCell ref="CK2:CN2"/>
    <mergeCell ref="E57:O57"/>
    <mergeCell ref="BC13:BD13"/>
    <mergeCell ref="E54:O54"/>
    <mergeCell ref="BS22:BV22"/>
    <mergeCell ref="BC31:BC32"/>
    <mergeCell ref="E56:O56"/>
    <mergeCell ref="B2:G2"/>
    <mergeCell ref="BS15:BV15"/>
    <mergeCell ref="BD34:BP34"/>
    <mergeCell ref="E58:O58"/>
    <mergeCell ref="BW20:CV20"/>
    <mergeCell ref="BC40:BD40"/>
    <mergeCell ref="BD36:BP36"/>
    <mergeCell ref="BE15:BR15"/>
    <mergeCell ref="BC26:BD26"/>
    <mergeCell ref="AB2:CJ2"/>
    <mergeCell ref="BC16:BD16"/>
    <mergeCell ref="B4:N4"/>
    <mergeCell ref="BC25:BD25"/>
    <mergeCell ref="E60:O60"/>
    <mergeCell ref="BS24:BV24"/>
    <mergeCell ref="CC4:CJ4"/>
    <mergeCell ref="E59:O59"/>
    <mergeCell ref="BW13:CV13"/>
    <mergeCell ref="BS26:BV26"/>
    <mergeCell ref="BE27:BR27"/>
    <mergeCell ref="BS10:BV10"/>
    <mergeCell ref="BC20:BD20"/>
    <mergeCell ref="BW15:CV15"/>
    <mergeCell ref="BE17:BR17"/>
    <mergeCell ref="BQ33:CU33"/>
    <mergeCell ref="BE39:BX39"/>
    <mergeCell ref="BW24:CV24"/>
    <mergeCell ref="D51:D52"/>
    <mergeCell ref="P55:AV55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the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Part List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master.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3" t="inlineStr">
        <is>
          <t>-</t>
        </is>
      </c>
      <c r="CG14" s="1013" t="inlineStr">
        <is>
          <t>MONTH_TO = month before the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run month; MONTH_FROM = N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months back. Example: run in Oct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2026, N = 6 -&gt; 202604 to 202609.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(Candidate, Active and Inactive).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3" t="inlineStr">
        <is>
          <t>-</t>
        </is>
      </c>
      <c r="CG21" s="1013" t="inlineStr">
        <is>
          <t>Skip a part whose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EFFECTIVE_START_DATE is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after the run date (not calculated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yet).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8" t="inlineStr">
        <is>
          <t>4.</t>
        </is>
      </c>
      <c r="CF25" s="1011" t="n"/>
      <c r="CG25" s="1013" t="inlineStr">
        <is>
          <t>For each selected part, read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TB_R_ACTUAL_DEMAND_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1" t="n"/>
      <c r="CG27" s="1013" t="inlineStr">
        <is>
          <t>SUMMARY rows of the part within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the range and calculate (see 4.1):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3" t="inlineStr">
        <is>
          <t>-</t>
        </is>
      </c>
      <c r="CG29" s="1013" t="inlineStr">
        <is>
          <t>TOTAL_MAD = sum of MAD of all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buyer code / PD code / order type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1" t="n"/>
      <c r="CG31" s="1013" t="inlineStr">
        <is>
          <t>(N + S) rows in the range.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AVG_MAD = TOTAL_MAD / N.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The divisor is always N; a month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without data counts as 0.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8" t="inlineStr">
        <is>
          <t>5.</t>
        </is>
      </c>
      <c r="CF35" s="1011" t="n"/>
      <c r="CG35" s="1013" t="inlineStr">
        <is>
          <t>Compare AVG_MAD with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MIN_MAD of the part (see 4.2):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3" t="inlineStr">
        <is>
          <t>-</t>
        </is>
      </c>
      <c r="CG37" s="1013" t="inlineStr">
        <is>
          <t>AVG_MAD &gt;= MIN_MAD -&gt;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Active.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AVG_MAD &lt; MIN_MAD -&gt;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Inactive.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8" t="inlineStr">
        <is>
          <t>6.</t>
        </is>
      </c>
      <c r="CF41" s="1011" t="n"/>
      <c r="CG41" s="1013" t="inlineStr">
        <is>
          <t>Save (see 4.3):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3" t="inlineStr">
        <is>
          <t>-</t>
        </is>
      </c>
      <c r="CG42" s="1013" t="inlineStr">
        <is>
          <t>Insert one result record per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1" t="n"/>
      <c r="CG43" s="1013" t="inlineStr">
        <is>
          <t>calculated part into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TB_R_PART_DAD_RESULT.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When the calculated status differs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6" t="n"/>
      <c r="CG48" s="1018" t="inlineStr">
        <is>
          <t>TB_M_PART_CANDIDATE and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993" t="n"/>
      <c r="CF49" s="993" t="n"/>
      <c r="CG49" s="1019" t="inlineStr">
        <is>
          <t>insert a history record (event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993" t="n"/>
      <c r="F50" s="993" t="n"/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3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5" t="n"/>
      <c r="CD50" s="993" t="n"/>
      <c r="CE50" s="993" t="n"/>
      <c r="CF50" s="993" t="n"/>
      <c r="CG50" s="1019" t="inlineStr">
        <is>
          <t>CALC, source BATCH).</t>
        </is>
      </c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1020" t="n"/>
      <c r="D51" s="1020" t="n"/>
      <c r="E51" s="1020" t="n"/>
      <c r="F51" s="1020" t="n"/>
      <c r="G51" s="1020" t="n"/>
      <c r="H51" s="1020" t="n"/>
      <c r="I51" s="1020" t="n"/>
      <c r="J51" s="1020" t="n"/>
      <c r="K51" s="1020" t="n"/>
      <c r="L51" s="1020" t="n"/>
      <c r="M51" s="1020" t="n"/>
      <c r="N51" s="1020" t="n"/>
      <c r="O51" s="1020" t="n"/>
      <c r="P51" s="1020" t="n"/>
      <c r="Q51" s="1020" t="n"/>
      <c r="R51" s="1020" t="n"/>
      <c r="S51" s="1020" t="n"/>
      <c r="T51" s="1020" t="n"/>
      <c r="U51" s="1020" t="n"/>
      <c r="V51" s="1020" t="n"/>
      <c r="W51" s="1020" t="n"/>
      <c r="X51" s="1020" t="n"/>
      <c r="Y51" s="1020" t="n"/>
      <c r="Z51" s="1020" t="n"/>
      <c r="AA51" s="1020" t="n"/>
      <c r="AB51" s="1020" t="n"/>
      <c r="AC51" s="1020" t="n"/>
      <c r="AD51" s="1020" t="n"/>
      <c r="AE51" s="1020" t="n"/>
      <c r="AF51" s="1020" t="n"/>
      <c r="AG51" s="1020" t="n"/>
      <c r="AH51" s="1020" t="n"/>
      <c r="AI51" s="1020" t="n"/>
      <c r="AJ51" s="1020" t="n"/>
      <c r="AK51" s="1020" t="n"/>
      <c r="AL51" s="1020" t="n"/>
      <c r="AM51" s="1020" t="n"/>
      <c r="AN51" s="1020" t="n"/>
      <c r="AO51" s="1020" t="n"/>
      <c r="AP51" s="1020" t="n"/>
      <c r="AQ51" s="1020" t="n"/>
      <c r="AR51" s="1020" t="n"/>
      <c r="AS51" s="1020" t="n"/>
      <c r="AT51" s="1020" t="n"/>
      <c r="AU51" s="1020" t="n"/>
      <c r="AV51" s="1020" t="n"/>
      <c r="AW51" s="1020" t="n"/>
      <c r="AX51" s="1020" t="n"/>
      <c r="AY51" s="1020" t="n"/>
      <c r="AZ51" s="1020" t="n"/>
      <c r="BA51" s="1020" t="n"/>
      <c r="BB51" s="1020" t="n"/>
      <c r="BC51" s="1020" t="n"/>
      <c r="BD51" s="1020" t="n"/>
      <c r="BE51" s="1020" t="n"/>
      <c r="BF51" s="1020" t="n"/>
      <c r="BG51" s="1020" t="n"/>
      <c r="BH51" s="1020" t="n"/>
      <c r="BI51" s="1020" t="n"/>
      <c r="BJ51" s="1020" t="n"/>
      <c r="BK51" s="1020" t="n"/>
      <c r="BL51" s="1020" t="n"/>
      <c r="BM51" s="1020" t="n"/>
      <c r="BN51" s="1020" t="n"/>
      <c r="BO51" s="1020" t="n"/>
      <c r="BP51" s="1020" t="n"/>
      <c r="BQ51" s="1020" t="n"/>
      <c r="BR51" s="1020" t="n"/>
      <c r="BS51" s="1020" t="n"/>
      <c r="BT51" s="1020" t="n"/>
      <c r="BU51" s="1020" t="n"/>
      <c r="BV51" s="1020" t="n"/>
      <c r="BW51" s="1020" t="n"/>
      <c r="BX51" s="1020" t="n"/>
      <c r="BY51" s="1020" t="n"/>
      <c r="BZ51" s="1020" t="n"/>
      <c r="CA51" s="1020" t="n"/>
      <c r="CB51" s="1020" t="n"/>
      <c r="CC51" s="995" t="n"/>
      <c r="CD51" s="1020" t="n"/>
      <c r="CE51" s="1020" t="n"/>
      <c r="CF51" s="1020" t="n"/>
      <c r="CG51" s="1020" t="n"/>
      <c r="CH51" s="1020" t="n"/>
      <c r="CI51" s="1020" t="n"/>
      <c r="CJ51" s="1020" t="n"/>
      <c r="CK51" s="1020" t="n"/>
      <c r="CL51" s="1020" t="n"/>
      <c r="CM51" s="1020" t="n"/>
      <c r="CN51" s="1020" t="n"/>
      <c r="CO51" s="1020" t="n"/>
      <c r="CP51" s="1020" t="n"/>
      <c r="CQ51" s="1020" t="n"/>
      <c r="CR51" s="1020" t="n"/>
      <c r="CS51" s="1020" t="n"/>
      <c r="CT51" s="1020" t="n"/>
      <c r="CU51" s="1020" t="n"/>
      <c r="CV51" s="1020" t="n"/>
      <c r="CW51" s="1020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1019" t="inlineStr">
        <is>
          <t>7.</t>
        </is>
      </c>
      <c r="CF53" s="993" t="n"/>
      <c r="CG53" s="1019" t="inlineStr">
        <is>
          <t>Check whether any error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19" t="inlineStr">
        <is>
          <t>occurred during steps 2 to 6.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1019" t="inlineStr">
        <is>
          <t>8.</t>
        </is>
      </c>
      <c r="CF55" s="993" t="n"/>
      <c r="CG55" s="1019" t="inlineStr">
        <is>
          <t>No error: commit, record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19" t="inlineStr">
        <is>
          <t>SUCCESS in the Log (END_DT =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19" t="inlineStr">
        <is>
          <t>last success date). Exit.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1019" t="inlineStr">
        <is>
          <t>9.</t>
        </is>
      </c>
      <c r="CF58" s="993" t="n"/>
      <c r="CG58" s="1019" t="inlineStr">
        <is>
          <t>Error: roll back everything, record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993" t="n"/>
      <c r="CF59" s="993" t="n"/>
      <c r="CG59" s="1019" t="inlineStr">
        <is>
          <t>FAILED in the Log.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1019" t="inlineStr">
        <is>
          <t>-</t>
        </is>
      </c>
      <c r="CG60" s="1019" t="inlineStr">
        <is>
          <t>The scheduler retries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19" t="inlineStr">
        <is>
          <t>automatically up to 3 times. After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19" t="inlineStr">
        <is>
          <t>the 3rd failed retry, [Run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19" t="inlineStr">
        <is>
          <t>calculation] is enabled on the Part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19" t="inlineStr">
        <is>
          <t>List screen. Exit.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993" t="n"/>
      <c r="F92" s="993" t="n"/>
      <c r="G92" s="993" t="n"/>
      <c r="H92" s="993" t="n"/>
      <c r="I92" s="993" t="n"/>
      <c r="J92" s="993" t="n"/>
      <c r="K92" s="993" t="n"/>
      <c r="L92" s="993" t="n"/>
      <c r="M92" s="993" t="n"/>
      <c r="N92" s="993" t="n"/>
      <c r="O92" s="993" t="n"/>
      <c r="P92" s="993" t="n"/>
      <c r="Q92" s="993" t="n"/>
      <c r="R92" s="993" t="n"/>
      <c r="S92" s="993" t="n"/>
      <c r="T92" s="993" t="n"/>
      <c r="U92" s="993" t="n"/>
      <c r="V92" s="993" t="n"/>
      <c r="W92" s="993" t="n"/>
      <c r="X92" s="993" t="n"/>
      <c r="Y92" s="993" t="n"/>
      <c r="Z92" s="993" t="n"/>
      <c r="AA92" s="993" t="n"/>
      <c r="AB92" s="993" t="n"/>
      <c r="AC92" s="993" t="n"/>
      <c r="AD92" s="993" t="n"/>
      <c r="AE92" s="993" t="n"/>
      <c r="AF92" s="993" t="n"/>
      <c r="AG92" s="993" t="n"/>
      <c r="AH92" s="993" t="n"/>
      <c r="AI92" s="993" t="n"/>
      <c r="AJ92" s="993" t="n"/>
      <c r="AK92" s="993" t="n"/>
      <c r="AL92" s="993" t="n"/>
      <c r="AM92" s="993" t="n"/>
      <c r="AN92" s="993" t="n"/>
      <c r="AO92" s="993" t="n"/>
      <c r="AP92" s="993" t="n"/>
      <c r="AQ92" s="993" t="n"/>
      <c r="AR92" s="993" t="n"/>
      <c r="AS92" s="993" t="n"/>
      <c r="AT92" s="993" t="n"/>
      <c r="AU92" s="993" t="n"/>
      <c r="AV92" s="993" t="n"/>
      <c r="AW92" s="993" t="n"/>
      <c r="AX92" s="993" t="n"/>
      <c r="AY92" s="993" t="n"/>
      <c r="AZ92" s="993" t="n"/>
      <c r="BA92" s="993" t="n"/>
      <c r="BB92" s="993" t="n"/>
      <c r="BC92" s="993" t="n"/>
      <c r="BD92" s="993" t="n"/>
      <c r="BE92" s="993" t="n"/>
      <c r="BF92" s="993" t="n"/>
      <c r="BG92" s="993" t="n"/>
      <c r="BH92" s="993" t="n"/>
      <c r="BI92" s="993" t="n"/>
      <c r="BJ92" s="993" t="n"/>
      <c r="BK92" s="993" t="n"/>
      <c r="BL92" s="993" t="n"/>
      <c r="BM92" s="993" t="n"/>
      <c r="BN92" s="993" t="n"/>
      <c r="BO92" s="993" t="n"/>
      <c r="BP92" s="993" t="n"/>
      <c r="BQ92" s="993" t="n"/>
      <c r="BR92" s="993" t="n"/>
      <c r="BS92" s="993" t="n"/>
      <c r="BT92" s="993" t="n"/>
      <c r="BU92" s="993" t="n"/>
      <c r="BV92" s="993" t="n"/>
      <c r="BW92" s="993" t="n"/>
      <c r="BX92" s="993" t="n"/>
      <c r="BY92" s="993" t="n"/>
      <c r="BZ92" s="993" t="n"/>
      <c r="CA92" s="993" t="n"/>
      <c r="CB92" s="993" t="n"/>
      <c r="CC92" s="995" t="n"/>
      <c r="CD92" s="993" t="n"/>
      <c r="CE92" s="993" t="n"/>
      <c r="CF92" s="993" t="n"/>
      <c r="CG92" s="993" t="n"/>
      <c r="CH92" s="993" t="n"/>
      <c r="CI92" s="993" t="n"/>
      <c r="CJ92" s="993" t="n"/>
      <c r="CK92" s="993" t="n"/>
      <c r="CL92" s="993" t="n"/>
      <c r="CM92" s="993" t="n"/>
      <c r="CN92" s="993" t="n"/>
      <c r="CO92" s="993" t="n"/>
      <c r="CP92" s="993" t="n"/>
      <c r="CQ92" s="993" t="n"/>
      <c r="CR92" s="993" t="n"/>
      <c r="CS92" s="993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1004" t="n"/>
      <c r="C93" s="1005" t="n"/>
      <c r="D93" s="1005" t="n"/>
      <c r="E93" s="1005" t="n"/>
      <c r="F93" s="1005" t="n"/>
      <c r="G93" s="1005" t="n"/>
      <c r="H93" s="1005" t="n"/>
      <c r="I93" s="1005" t="n"/>
      <c r="J93" s="1005" t="n"/>
      <c r="K93" s="1005" t="n"/>
      <c r="L93" s="1005" t="n"/>
      <c r="M93" s="1005" t="n"/>
      <c r="N93" s="1005" t="n"/>
      <c r="O93" s="1005" t="n"/>
      <c r="P93" s="1005" t="n"/>
      <c r="Q93" s="1005" t="n"/>
      <c r="R93" s="1005" t="n"/>
      <c r="S93" s="1005" t="n"/>
      <c r="T93" s="1005" t="n"/>
      <c r="U93" s="1005" t="n"/>
      <c r="V93" s="1005" t="n"/>
      <c r="W93" s="1005" t="n"/>
      <c r="X93" s="1005" t="n"/>
      <c r="Y93" s="1005" t="n"/>
      <c r="Z93" s="1005" t="n"/>
      <c r="AA93" s="1005" t="n"/>
      <c r="AB93" s="1005" t="n"/>
      <c r="AC93" s="1005" t="n"/>
      <c r="AD93" s="1005" t="n"/>
      <c r="AE93" s="1005" t="n"/>
      <c r="AF93" s="1005" t="n"/>
      <c r="AG93" s="1005" t="n"/>
      <c r="AH93" s="1005" t="n"/>
      <c r="AI93" s="1005" t="n"/>
      <c r="AJ93" s="1005" t="n"/>
      <c r="AK93" s="1005" t="n"/>
      <c r="AL93" s="1005" t="n"/>
      <c r="AM93" s="1005" t="n"/>
      <c r="AN93" s="1005" t="n"/>
      <c r="AO93" s="1005" t="n"/>
      <c r="AP93" s="1005" t="n"/>
      <c r="AQ93" s="1005" t="n"/>
      <c r="AR93" s="1005" t="n"/>
      <c r="AS93" s="1005" t="n"/>
      <c r="AT93" s="1005" t="n"/>
      <c r="AU93" s="1005" t="n"/>
      <c r="AV93" s="1005" t="n"/>
      <c r="AW93" s="1005" t="n"/>
      <c r="AX93" s="1005" t="n"/>
      <c r="AY93" s="100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6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6" t="n"/>
      <c r="CY93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1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28" t="n">
        <v>1</v>
      </c>
      <c r="S12" s="856" t="n"/>
      <c r="T12" s="1029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4" t="inlineStr">
        <is>
          <t>→</t>
        </is>
      </c>
      <c r="AM12" s="1030" t="n">
        <v>2</v>
      </c>
      <c r="AN12" s="856" t="n"/>
      <c r="AO12" s="103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>
        <v>2</v>
      </c>
      <c r="S16" s="856" t="n"/>
      <c r="T16" s="1029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4" t="inlineStr">
        <is>
          <t>→</t>
        </is>
      </c>
      <c r="AM16" s="1030" t="n">
        <v>6</v>
      </c>
      <c r="AN16" s="856" t="n"/>
      <c r="AO16" s="1031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/>
      <c r="AN17" s="856" t="n"/>
      <c r="AO17" s="1031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7</v>
      </c>
      <c r="AN18" s="856" t="n"/>
      <c r="AO18" s="1031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n"/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>
        <v>8</v>
      </c>
      <c r="AN19" s="856" t="n"/>
      <c r="AO19" s="1031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n"/>
      <c r="L20" s="732" t="n"/>
      <c r="M20" s="732" t="n"/>
      <c r="N20" s="732" t="n"/>
      <c r="O20" s="732" t="n"/>
      <c r="P20" s="732" t="n"/>
      <c r="Q20" s="858" t="n"/>
      <c r="R20" s="1028" t="n"/>
      <c r="S20" s="856" t="n"/>
      <c r="T20" s="1029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0" t="n">
        <v>9</v>
      </c>
      <c r="AN20" s="856" t="n"/>
      <c r="AO20" s="1031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n"/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>
        <v>10</v>
      </c>
      <c r="AN21" s="856" t="n"/>
      <c r="AO21" s="1031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n"/>
      <c r="L22" s="732" t="n"/>
      <c r="M22" s="732" t="n"/>
      <c r="N22" s="732" t="n"/>
      <c r="O22" s="732" t="n"/>
      <c r="P22" s="732" t="n"/>
      <c r="Q22" s="858" t="n"/>
      <c r="R22" s="1028" t="n"/>
      <c r="S22" s="856" t="n"/>
      <c r="T22" s="1029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0" t="n">
        <v>11</v>
      </c>
      <c r="AN22" s="856" t="n"/>
      <c r="AO22" s="1031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n"/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>
        <v>12</v>
      </c>
      <c r="AN23" s="856" t="n"/>
      <c r="AO23" s="1031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2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3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4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5" t="inlineStr">
        <is>
          <t>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26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>
        <v>1</v>
      </c>
      <c r="AN28" s="856" t="n"/>
      <c r="AO28" s="1031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2</v>
      </c>
      <c r="AN29" s="856" t="n"/>
      <c r="AO29" s="1031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3</v>
      </c>
      <c r="AN30" s="856" t="n"/>
      <c r="AO30" s="1031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4</v>
      </c>
      <c r="AN31" s="856" t="n"/>
      <c r="AO31" s="1031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5</v>
      </c>
      <c r="AN32" s="856" t="n"/>
      <c r="AO32" s="1031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6</v>
      </c>
      <c r="AN33" s="856" t="n"/>
      <c r="AO33" s="1031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0" t="n">
        <v>7</v>
      </c>
      <c r="AN34" s="856" t="n"/>
      <c r="AO34" s="1031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>
        <v>1</v>
      </c>
      <c r="S36" s="856" t="n"/>
      <c r="T36" s="1029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34" t="inlineStr">
        <is>
          <t>→</t>
        </is>
      </c>
      <c r="AM36" s="1030" t="n">
        <v>8</v>
      </c>
      <c r="AN36" s="856" t="n"/>
      <c r="AO36" s="1031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0" t="n">
        <v>9</v>
      </c>
      <c r="AN37" s="856" t="n"/>
      <c r="AO37" s="1031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>
        <v>10</v>
      </c>
      <c r="AN38" s="856" t="n"/>
      <c r="AO38" s="1031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>
        <v>11</v>
      </c>
      <c r="AN39" s="856" t="n"/>
      <c r="AO39" s="1031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/>
      <c r="S40" s="856" t="n"/>
      <c r="T40" s="1029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0" t="n">
        <v>12</v>
      </c>
      <c r="AN40" s="856" t="n"/>
      <c r="AO40" s="1031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>
        <v>13</v>
      </c>
      <c r="AN41" s="856" t="n"/>
      <c r="AO41" s="1031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>
        <v>14</v>
      </c>
      <c r="AN42" s="856" t="n"/>
      <c r="AO42" s="1031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/>
      <c r="S43" s="856" t="n"/>
      <c r="T43" s="1029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0" t="n">
        <v>15</v>
      </c>
      <c r="AN43" s="856" t="n"/>
      <c r="AO43" s="1031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>
        <v>16</v>
      </c>
      <c r="AN44" s="856" t="n"/>
      <c r="AO44" s="1031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>
        <v>17</v>
      </c>
      <c r="AN45" s="856" t="n"/>
      <c r="AO45" s="1031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6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>
        <v>8</v>
      </c>
      <c r="AN59" s="856" t="n"/>
      <c r="AO59" s="1031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9</v>
      </c>
      <c r="AN60" s="856" t="n"/>
      <c r="AO60" s="1031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10</v>
      </c>
      <c r="AN61" s="856" t="n"/>
      <c r="AO61" s="1031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11</v>
      </c>
      <c r="AN62" s="856" t="n"/>
      <c r="AO62" s="1031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12</v>
      </c>
      <c r="AN63" s="856" t="n"/>
      <c r="AO63" s="1031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13</v>
      </c>
      <c r="AN64" s="856" t="n"/>
      <c r="AO64" s="1031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2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3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4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5" t="inlineStr">
        <is>
          <t>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</v>
      </c>
      <c r="AN69" s="856" t="n"/>
      <c r="AO69" s="1031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>
        <v>2</v>
      </c>
      <c r="AN70" s="856" t="n"/>
      <c r="AO70" s="1031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/>
      <c r="S71" s="856" t="n"/>
      <c r="T71" s="102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0" t="n">
        <v>3</v>
      </c>
      <c r="AN71" s="856" t="n"/>
      <c r="AO71" s="1031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>
        <v>4</v>
      </c>
      <c r="AN72" s="856" t="n"/>
      <c r="AO72" s="1031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/>
      <c r="S73" s="856" t="n"/>
      <c r="T73" s="1029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0" t="n">
        <v>5</v>
      </c>
      <c r="AN73" s="856" t="n"/>
      <c r="AO73" s="1031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6</v>
      </c>
      <c r="AN74" s="856" t="n"/>
      <c r="AO74" s="1031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7</v>
      </c>
      <c r="AN75" s="856" t="n"/>
      <c r="AO75" s="1031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/>
      <c r="AN76" s="856" t="n"/>
      <c r="AO76" s="1031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4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6" t="n"/>
      <c r="CY89" s="993" t="n"/>
    </row>
  </sheetData>
  <mergeCells count="565">
    <mergeCell ref="AZ40:CF40"/>
    <mergeCell ref="B61:J61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71:CQ71"/>
    <mergeCell ref="K30:Q30"/>
    <mergeCell ref="CR62:CX62"/>
    <mergeCell ref="CR56:CX56"/>
    <mergeCell ref="T62:AD62"/>
    <mergeCell ref="AO15:AY15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R26:S27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30:AN30"/>
    <mergeCell ref="K29:Q29"/>
    <mergeCell ref="AM54:AN54"/>
    <mergeCell ref="AM26:AN27"/>
    <mergeCell ref="CR64:CX64"/>
    <mergeCell ref="AO54:AY54"/>
    <mergeCell ref="K44:Q44"/>
    <mergeCell ref="AO41:AY41"/>
    <mergeCell ref="B72:J72"/>
    <mergeCell ref="K31:Q31"/>
    <mergeCell ref="R72:S72"/>
    <mergeCell ref="AZ57:CF57"/>
    <mergeCell ref="T72:AD72"/>
    <mergeCell ref="O2:Y2"/>
    <mergeCell ref="AO56:AY56"/>
    <mergeCell ref="AX66:BJ66"/>
    <mergeCell ref="R14:S14"/>
    <mergeCell ref="B42:J42"/>
    <mergeCell ref="T26:AD27"/>
    <mergeCell ref="K25:AD25"/>
    <mergeCell ref="AO60:AY60"/>
    <mergeCell ref="CG51:CQ51"/>
    <mergeCell ref="T29:AD29"/>
    <mergeCell ref="B17:J17"/>
    <mergeCell ref="AJ4:AV4"/>
    <mergeCell ref="B44:J44"/>
    <mergeCell ref="AZ67:CF68"/>
    <mergeCell ref="K57:Q57"/>
    <mergeCell ref="B19:J19"/>
    <mergeCell ref="AM34:AN34"/>
    <mergeCell ref="T58:AD58"/>
    <mergeCell ref="T54:AD54"/>
    <mergeCell ref="AZ75:CF75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K75:Q75"/>
    <mergeCell ref="AO31:AY31"/>
    <mergeCell ref="K12:Q12"/>
    <mergeCell ref="K39:Q39"/>
    <mergeCell ref="K14:Q14"/>
    <mergeCell ref="K70:Q70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K63:Q63"/>
    <mergeCell ref="AO67:AY68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B26:Q26"/>
    <mergeCell ref="B40:J40"/>
    <mergeCell ref="BT25:BX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T43:AD43"/>
    <mergeCell ref="CG20:CQ20"/>
    <mergeCell ref="AM14:AN14"/>
    <mergeCell ref="CR61:CX61"/>
    <mergeCell ref="R59:S59"/>
    <mergeCell ref="CO3:CX3"/>
    <mergeCell ref="K10:Q10"/>
    <mergeCell ref="R34:S34"/>
    <mergeCell ref="CR33:CX33"/>
    <mergeCell ref="CG37:CQ37"/>
    <mergeCell ref="K74:Q74"/>
    <mergeCell ref="K68:Q68"/>
    <mergeCell ref="R36:S36"/>
    <mergeCell ref="AO53:AY53"/>
    <mergeCell ref="R67:S68"/>
    <mergeCell ref="BY25:CE25"/>
    <mergeCell ref="T67:AD68"/>
    <mergeCell ref="CG38:CQ38"/>
    <mergeCell ref="CG13:CQ13"/>
    <mergeCell ref="B54:J54"/>
    <mergeCell ref="T31:AD31"/>
    <mergeCell ref="BU3:BZ3"/>
    <mergeCell ref="CA3:CH3"/>
    <mergeCell ref="B56:J56"/>
    <mergeCell ref="AJ3:AV3"/>
    <mergeCell ref="CR13:CX13"/>
    <mergeCell ref="AM36:AN36"/>
    <mergeCell ref="B43:J43"/>
    <mergeCell ref="CG40:CQ40"/>
    <mergeCell ref="AZ34:CF34"/>
    <mergeCell ref="AM67:AN68"/>
    <mergeCell ref="AZ28:CF28"/>
    <mergeCell ref="AO71:AY71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CG22:CQ22"/>
    <mergeCell ref="CI4:CN4"/>
    <mergeCell ref="K18:Q18"/>
    <mergeCell ref="K34:Q34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CG26:CX26"/>
    <mergeCell ref="AM21:AN21"/>
    <mergeCell ref="BY8:CE8"/>
    <mergeCell ref="BK49:BS49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B4:N4"/>
    <mergeCell ref="CR57:CX57"/>
    <mergeCell ref="CR54:CX54"/>
    <mergeCell ref="AM52:AN52"/>
    <mergeCell ref="AZ9:CF10"/>
    <mergeCell ref="CR23:CX23"/>
    <mergeCell ref="R21:S21"/>
    <mergeCell ref="CG68:CQ68"/>
    <mergeCell ref="AM39:AN39"/>
    <mergeCell ref="CG43:CQ43"/>
    <mergeCell ref="AO74:AY74"/>
    <mergeCell ref="AO39:AY39"/>
    <mergeCell ref="CR58:CX58"/>
    <mergeCell ref="AZ52:CF52"/>
    <mergeCell ref="AZ39:CF39"/>
    <mergeCell ref="CG34:CQ34"/>
    <mergeCell ref="CR60:CX60"/>
    <mergeCell ref="B67:Q67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M58:AN58"/>
    <mergeCell ref="AZ63:CF63"/>
    <mergeCell ref="CG62:CQ62"/>
    <mergeCell ref="CG56:CQ56"/>
    <mergeCell ref="AO37:AY37"/>
    <mergeCell ref="CR71:CX71"/>
    <mergeCell ref="T44:AD44"/>
    <mergeCell ref="AM60:AN60"/>
    <mergeCell ref="B55:J55"/>
    <mergeCell ref="AO18:AY18"/>
    <mergeCell ref="R55:S55"/>
    <mergeCell ref="AX49:BJ49"/>
    <mergeCell ref="CG57:CQ57"/>
    <mergeCell ref="K21:Q21"/>
    <mergeCell ref="T73:AD73"/>
    <mergeCell ref="K32:Q32"/>
    <mergeCell ref="AZ58:CF58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AZ45:CF45"/>
    <mergeCell ref="CG75:CQ75"/>
    <mergeCell ref="AM19:AN19"/>
    <mergeCell ref="B53:J53"/>
    <mergeCell ref="AZ55:CF55"/>
    <mergeCell ref="O4:AI4"/>
    <mergeCell ref="CF66:CX66"/>
    <mergeCell ref="T53:AD53"/>
    <mergeCell ref="AZ70:CF70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AM73:AN73"/>
    <mergeCell ref="CR15:CX15"/>
    <mergeCell ref="R42:S42"/>
    <mergeCell ref="AZ71:CF71"/>
    <mergeCell ref="CG64:CQ64"/>
    <mergeCell ref="AM45:AN45"/>
    <mergeCell ref="K11:Q11"/>
    <mergeCell ref="CR73:CX73"/>
    <mergeCell ref="AZ73:CF73"/>
    <mergeCell ref="AM74:AN74"/>
    <mergeCell ref="K40:Q40"/>
    <mergeCell ref="CR10:CX10"/>
    <mergeCell ref="T37:AD37"/>
    <mergeCell ref="AO55:AY55"/>
    <mergeCell ref="AM76:AN76"/>
    <mergeCell ref="R23:S23"/>
    <mergeCell ref="AO40:AY40"/>
    <mergeCell ref="BK66:BS66"/>
    <mergeCell ref="K71:Q71"/>
    <mergeCell ref="CG63:CQ63"/>
    <mergeCell ref="CR76:CX76"/>
    <mergeCell ref="AO69:AY69"/>
    <mergeCell ref="T38:AD38"/>
    <mergeCell ref="K73:Q73"/>
    <mergeCell ref="CG67:CX67"/>
    <mergeCell ref="BT66:BX66"/>
    <mergeCell ref="B34:J34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T71:AD71"/>
    <mergeCell ref="CR30:CX30"/>
    <mergeCell ref="AO45:AY45"/>
    <mergeCell ref="AM20:AN20"/>
    <mergeCell ref="CG14:CQ14"/>
    <mergeCell ref="R76:S76"/>
    <mergeCell ref="T40:AD40"/>
    <mergeCell ref="AZ61:CF61"/>
    <mergeCell ref="T76:AD76"/>
    <mergeCell ref="AM35:AN35"/>
    <mergeCell ref="AO38:AY38"/>
    <mergeCell ref="CR69:CX69"/>
    <mergeCell ref="T69:AD69"/>
    <mergeCell ref="AO22:AY22"/>
    <mergeCell ref="K59:Q59"/>
    <mergeCell ref="AO64:AY64"/>
    <mergeCell ref="CG55:CQ55"/>
    <mergeCell ref="K66:AD66"/>
    <mergeCell ref="K61:Q61"/>
    <mergeCell ref="R29:S29"/>
    <mergeCell ref="AZ74:CF74"/>
    <mergeCell ref="AO76:AY76"/>
    <mergeCell ref="T45:AD45"/>
    <mergeCell ref="R31:S31"/>
    <mergeCell ref="AZ76:CF76"/>
    <mergeCell ref="K62:Q62"/>
    <mergeCell ref="AE12:AL12"/>
    <mergeCell ref="T59:AD59"/>
    <mergeCell ref="AO33:AY33"/>
    <mergeCell ref="CG73:CQ73"/>
    <mergeCell ref="AO43:AY43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AZ69:CF69"/>
    <mergeCell ref="AO59:AY59"/>
    <mergeCell ref="CR31:CX31"/>
    <mergeCell ref="CG15:CQ15"/>
    <mergeCell ref="R44:S44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R72:CX72"/>
    <mergeCell ref="K69:Q69"/>
    <mergeCell ref="AZ16:CF16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R19:CX19"/>
    <mergeCell ref="AZ26:CF27"/>
    <mergeCell ref="AO34:AY34"/>
    <mergeCell ref="CG74:CQ74"/>
    <mergeCell ref="B27:J27"/>
    <mergeCell ref="AO36:AY36"/>
    <mergeCell ref="CG76:CQ76"/>
    <mergeCell ref="AZ44:CF44"/>
    <mergeCell ref="CA4:CH4"/>
    <mergeCell ref="K17:Q17"/>
    <mergeCell ref="R63:S63"/>
    <mergeCell ref="CR52:CX52"/>
    <mergeCell ref="K19:Q19"/>
    <mergeCell ref="CR18:CX18"/>
    <mergeCell ref="CR45:CX45"/>
    <mergeCell ref="R16:S16"/>
    <mergeCell ref="B37:J37"/>
    <mergeCell ref="CG21:CQ21"/>
    <mergeCell ref="CR53:CX53"/>
    <mergeCell ref="AZ72:CF72"/>
    <mergeCell ref="R45:S45"/>
    <mergeCell ref="AO62:AY62"/>
    <mergeCell ref="CI3:CN3"/>
    <mergeCell ref="CG29:CQ29"/>
    <mergeCell ref="CG23:CQ23"/>
    <mergeCell ref="K60:Q60"/>
    <mergeCell ref="T11:AD11"/>
    <mergeCell ref="CR21:CX21"/>
    <mergeCell ref="AZ42:CF42"/>
    <mergeCell ref="T75:AD75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O11:AY11"/>
    <mergeCell ref="AM22:AN22"/>
    <mergeCell ref="AZ20:CF20"/>
    <mergeCell ref="AO26:AY27"/>
    <mergeCell ref="AO75:AY75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BY66:CE66"/>
    <mergeCell ref="T19:AD19"/>
    <mergeCell ref="T50:AD51"/>
    <mergeCell ref="R61:S61"/>
    <mergeCell ref="AE36:AL36"/>
    <mergeCell ref="AM41:AN41"/>
    <mergeCell ref="CR12:CX12"/>
    <mergeCell ref="CF25:CX25"/>
    <mergeCell ref="CG45:CQ45"/>
    <mergeCell ref="AZ33:CF33"/>
    <mergeCell ref="CG32:CQ32"/>
    <mergeCell ref="T20:AD20"/>
    <mergeCell ref="T14:AD14"/>
    <mergeCell ref="K38:Q38"/>
    <mergeCell ref="B73:J73"/>
    <mergeCell ref="Z2:CH2"/>
    <mergeCell ref="K13:Q13"/>
    <mergeCell ref="B10:J10"/>
    <mergeCell ref="B50:Q50"/>
    <mergeCell ref="R37:S37"/>
    <mergeCell ref="AO19:AY19"/>
    <mergeCell ref="K15:Q15"/>
    <mergeCell ref="B74:J74"/>
    <mergeCell ref="CR38:CX38"/>
    <mergeCell ref="AZ35:CF35"/>
    <mergeCell ref="K33:Q33"/>
    <mergeCell ref="AM61:AN61"/>
    <mergeCell ref="B68:J68"/>
    <mergeCell ref="CR74:CX74"/>
    <mergeCell ref="CG58:CQ58"/>
    <mergeCell ref="CR68:CX68"/>
    <mergeCell ref="T74:AD74"/>
    <mergeCell ref="CR43:CX43"/>
    <mergeCell ref="AM69:AN69"/>
    <mergeCell ref="AO58:AY58"/>
    <mergeCell ref="B76:J76"/>
    <mergeCell ref="K35:Q35"/>
    <mergeCell ref="AO20:AY20"/>
    <mergeCell ref="CG60:CQ60"/>
    <mergeCell ref="CR51:CX51"/>
    <mergeCell ref="BK25:BS2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decides the status of every crossdock part from its actual demand. Range of months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One record per calculated part is inserted into TB_R_PART_DAD_RESULT (also when the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status does not change).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Average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Only parts whose status changes are updated in TB_M_PART_CANDIDATE (PART_STATUS,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Range: the N months before the run month (N from the system master). Example: run in Oct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LAST_SOURCE = CALC, CHANGED_BY / CHANGED_DT) and get a history record (event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2026 with N = 6 -&gt; 202604 to 202609.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CALC, source BATCH).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Monthly MAD of a part = sum of MAD of all its rows in that month (all buyer codes, PD codes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8" t="inlineStr">
        <is>
          <t>-</t>
        </is>
      </c>
      <c r="BC14" s="948" t="inlineStr">
        <is>
          <t>SYNC_STATUS is not changed: only a change of Pcs/Case, Max Case/Day or the destination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and order types N + S).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mapping requires a new Sync.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AVG_MAD = total MAD of the range / N. The divisor is always N, whatever the data: a month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All-or-nothing: any error rolls back the whole run.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without data counts as 0.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part without any demand row in the range gets AVG_MAD = 0.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6" t="inlineStr">
        <is>
          <t>4.4 Retry and Manual Trigger</t>
        </is>
      </c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AVG_MAD is kept with 2 decimals and compared as it is (no rounding).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 failed run is retried automatically up to 3 times by the scheduler (RUN_TYPE = RETRY,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RETRY_NO 1-3 in the Log).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4.2 Status Rule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After the 3rd failed retry, [Run calculation] is enabled on the Part List screen (RUN_TYPE =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0" t="inlineStr">
        <is>
          <t>Condition</t>
        </is>
      </c>
      <c r="D22" s="952" t="n"/>
      <c r="E22" s="952" t="n"/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New status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MANUAL).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6" t="inlineStr">
        <is>
          <t>AVG_MAD &gt;= MIN_MAD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Active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5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last success date (END_DT of the latest SUCCESS record in the Log) is shown on the Part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86" t="inlineStr">
        <is>
          <t>AVG_MAD &lt; MIN_MAD</t>
        </is>
      </c>
      <c r="D24" s="987" t="n"/>
      <c r="E24" s="987" t="n"/>
      <c r="F24" s="987" t="n"/>
      <c r="G24" s="987" t="n"/>
      <c r="H24" s="987" t="n"/>
      <c r="I24" s="987" t="n"/>
      <c r="J24" s="987" t="n"/>
      <c r="K24" s="987" t="n"/>
      <c r="L24" s="987" t="n"/>
      <c r="M24" s="987" t="n"/>
      <c r="N24" s="987" t="n"/>
      <c r="O24" s="987" t="n"/>
      <c r="P24" s="987" t="n"/>
      <c r="Q24" s="987" t="n"/>
      <c r="R24" s="987" t="n"/>
      <c r="S24" s="987" t="n"/>
      <c r="T24" s="988" t="n"/>
      <c r="U24" s="986" t="inlineStr">
        <is>
          <t>Inactive</t>
        </is>
      </c>
      <c r="V24" s="987" t="n"/>
      <c r="W24" s="987" t="n"/>
      <c r="X24" s="987" t="n"/>
      <c r="Y24" s="987" t="n"/>
      <c r="Z24" s="987" t="n"/>
      <c r="AA24" s="987" t="n"/>
      <c r="AB24" s="987" t="n"/>
      <c r="AC24" s="987" t="n"/>
      <c r="AD24" s="988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List screen.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Possible changes: Candidate -&gt; Active / Inactive, Inactive -&gt; Active, Active -&gt; Inactive.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Parts whose EFFECTIVE_START_DATE is after the run date are not calculated.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The batch may overwrite a status changed manually by the user. The user may still change the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status again afterwards by screen or upload.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6" t="n"/>
      <c r="C48" s="1037" t="n"/>
      <c r="D48" s="1037" t="n"/>
      <c r="E48" s="1037" t="n"/>
      <c r="F48" s="1037" t="n"/>
      <c r="G48" s="1037" t="n"/>
      <c r="H48" s="1037" t="n"/>
      <c r="I48" s="1037" t="n"/>
      <c r="J48" s="1037" t="n"/>
      <c r="K48" s="1037" t="n"/>
      <c r="L48" s="1037" t="n"/>
      <c r="M48" s="1037" t="n"/>
      <c r="N48" s="1037" t="n"/>
      <c r="O48" s="1037" t="n"/>
      <c r="P48" s="1037" t="n"/>
      <c r="Q48" s="1037" t="n"/>
      <c r="R48" s="1037" t="n"/>
      <c r="S48" s="1037" t="n"/>
      <c r="T48" s="1037" t="n"/>
      <c r="U48" s="1037" t="n"/>
      <c r="V48" s="1037" t="n"/>
      <c r="W48" s="1037" t="n"/>
      <c r="X48" s="1037" t="n"/>
      <c r="Y48" s="1037" t="n"/>
      <c r="Z48" s="1037" t="n"/>
      <c r="AA48" s="1037" t="n"/>
      <c r="AB48" s="1037" t="n"/>
      <c r="AC48" s="1037" t="n"/>
      <c r="AD48" s="1037" t="n"/>
      <c r="AE48" s="1037" t="n"/>
      <c r="AF48" s="1037" t="n"/>
      <c r="AG48" s="1037" t="n"/>
      <c r="AH48" s="1037" t="n"/>
      <c r="AI48" s="1037" t="n"/>
      <c r="AJ48" s="1037" t="n"/>
      <c r="AK48" s="1037" t="n"/>
      <c r="AL48" s="1037" t="n"/>
      <c r="AM48" s="1037" t="n"/>
      <c r="AN48" s="1037" t="n"/>
      <c r="AO48" s="1037" t="n"/>
      <c r="AP48" s="1037" t="n"/>
      <c r="AQ48" s="1037" t="n"/>
      <c r="AR48" s="1037" t="n"/>
      <c r="AS48" s="1037" t="n"/>
      <c r="AT48" s="1037" t="n"/>
      <c r="AU48" s="1037" t="n"/>
      <c r="AV48" s="1037" t="n"/>
      <c r="AW48" s="1037" t="n"/>
      <c r="AX48" s="1037" t="n"/>
      <c r="AY48" s="1037" t="n"/>
      <c r="AZ48" s="1037" t="n"/>
      <c r="BA48" s="1037" t="n"/>
      <c r="BB48" s="1037" t="n"/>
      <c r="BC48" s="1037" t="n"/>
      <c r="BD48" s="1037" t="n"/>
      <c r="BE48" s="1037" t="n"/>
      <c r="BF48" s="1037" t="n"/>
      <c r="BG48" s="1037" t="n"/>
      <c r="BH48" s="1037" t="n"/>
      <c r="BI48" s="1037" t="n"/>
      <c r="BJ48" s="1037" t="n"/>
      <c r="BK48" s="1037" t="n"/>
      <c r="BL48" s="1037" t="n"/>
      <c r="BM48" s="1037" t="n"/>
      <c r="BN48" s="1037" t="n"/>
      <c r="BO48" s="1037" t="n"/>
      <c r="BP48" s="1037" t="n"/>
      <c r="BQ48" s="1037" t="n"/>
      <c r="BR48" s="1037" t="n"/>
      <c r="BS48" s="1037" t="n"/>
      <c r="BT48" s="1037" t="n"/>
      <c r="BU48" s="1037" t="n"/>
      <c r="BV48" s="1037" t="n"/>
      <c r="BW48" s="1037" t="n"/>
      <c r="BX48" s="1037" t="n"/>
      <c r="BY48" s="1037" t="n"/>
      <c r="BZ48" s="1037" t="n"/>
      <c r="CA48" s="1037" t="n"/>
      <c r="CB48" s="1037" t="n"/>
      <c r="CC48" s="1037" t="n"/>
      <c r="CD48" s="1037" t="n"/>
      <c r="CE48" s="1037" t="n"/>
      <c r="CF48" s="1037" t="n"/>
      <c r="CG48" s="1037" t="n"/>
      <c r="CH48" s="1037" t="n"/>
      <c r="CI48" s="1037" t="n"/>
      <c r="CJ48" s="1037" t="n"/>
      <c r="CK48" s="1037" t="n"/>
      <c r="CL48" s="1037" t="n"/>
      <c r="CM48" s="1037" t="n"/>
      <c r="CN48" s="1037" t="n"/>
      <c r="CO48" s="1037" t="n"/>
      <c r="CP48" s="1037" t="n"/>
      <c r="CQ48" s="1037" t="n"/>
      <c r="CR48" s="1037" t="n"/>
      <c r="CS48" s="1037" t="n"/>
      <c r="CT48" s="1037" t="n"/>
      <c r="CU48" s="1037" t="n"/>
      <c r="CV48" s="1037" t="n"/>
      <c r="CW48" s="1037" t="n"/>
      <c r="CX48" s="1038" t="n"/>
      <c r="CY48" s="941" t="n"/>
    </row>
  </sheetData>
  <mergeCells count="29">
    <mergeCell ref="B2:G2"/>
    <mergeCell ref="U24:AD24"/>
    <mergeCell ref="O3:AH3"/>
    <mergeCell ref="C22:T22"/>
    <mergeCell ref="CK3:CN3"/>
    <mergeCell ref="O2:AA2"/>
    <mergeCell ref="CO3:CX3"/>
    <mergeCell ref="BW4:CB4"/>
    <mergeCell ref="AB2:CJ2"/>
    <mergeCell ref="U23:AD23"/>
    <mergeCell ref="BW3:CB3"/>
    <mergeCell ref="CO2:CX2"/>
    <mergeCell ref="B6:CX6"/>
    <mergeCell ref="B4:N4"/>
    <mergeCell ref="U22:AD22"/>
    <mergeCell ref="AT3:BV3"/>
    <mergeCell ref="C23:T2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3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4" t="n"/>
      <c r="C10" s="961" t="n"/>
      <c r="D10" s="959" t="n"/>
      <c r="E10" s="1045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5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4" t="n"/>
      <c r="AM10" s="961" t="n"/>
      <c r="AN10" s="961" t="n"/>
      <c r="AO10" s="961" t="n"/>
      <c r="AP10" s="959" t="n"/>
      <c r="AQ10" s="1046" t="n"/>
      <c r="AR10" s="961" t="n"/>
      <c r="AS10" s="961" t="n"/>
      <c r="AT10" s="961" t="n"/>
      <c r="AU10" s="961" t="n"/>
      <c r="AV10" s="961" t="n"/>
      <c r="AW10" s="959" t="n"/>
      <c r="AX10" s="1047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7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8" t="n"/>
      <c r="C11" s="971" t="n"/>
      <c r="D11" s="969" t="n"/>
      <c r="E11" s="1049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9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8" t="n"/>
      <c r="AM11" s="971" t="n"/>
      <c r="AN11" s="971" t="n"/>
      <c r="AO11" s="971" t="n"/>
      <c r="AP11" s="969" t="n"/>
      <c r="AQ11" s="1050" t="n"/>
      <c r="AR11" s="971" t="n"/>
      <c r="AS11" s="971" t="n"/>
      <c r="AT11" s="971" t="n"/>
      <c r="AU11" s="971" t="n"/>
      <c r="AV11" s="971" t="n"/>
      <c r="AW11" s="969" t="n"/>
      <c r="AX11" s="1051" t="inlineStr">
        <is>
          <t>&lt;MONTH_TO&gt;.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52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9" t="n">
        <v>2</v>
      </c>
      <c r="C12" s="957" t="n"/>
      <c r="D12" s="955" t="n"/>
      <c r="E12" s="1042" t="inlineStr">
        <is>
          <t>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2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9" t="inlineStr">
        <is>
          <t>Info</t>
        </is>
      </c>
      <c r="AM12" s="957" t="n"/>
      <c r="AN12" s="957" t="n"/>
      <c r="AO12" s="957" t="n"/>
      <c r="AP12" s="955" t="n"/>
      <c r="AQ12" s="1043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3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3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4" t="n"/>
      <c r="C13" s="961" t="n"/>
      <c r="D13" s="959" t="n"/>
      <c r="E13" s="1045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5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4" t="n"/>
      <c r="AM13" s="961" t="n"/>
      <c r="AN13" s="961" t="n"/>
      <c r="AO13" s="961" t="n"/>
      <c r="AP13" s="959" t="n"/>
      <c r="AQ13" s="1046" t="n"/>
      <c r="AR13" s="961" t="n"/>
      <c r="AS13" s="961" t="n"/>
      <c r="AT13" s="961" t="n"/>
      <c r="AU13" s="961" t="n"/>
      <c r="AV13" s="961" t="n"/>
      <c r="AW13" s="959" t="n"/>
      <c r="AX13" s="1047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7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8" t="n"/>
      <c r="C14" s="971" t="n"/>
      <c r="D14" s="969" t="n"/>
      <c r="E14" s="1049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49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48" t="n"/>
      <c r="AM14" s="971" t="n"/>
      <c r="AN14" s="971" t="n"/>
      <c r="AO14" s="971" t="n"/>
      <c r="AP14" s="969" t="n"/>
      <c r="AQ14" s="1050" t="n"/>
      <c r="AR14" s="971" t="n"/>
      <c r="AS14" s="971" t="n"/>
      <c r="AT14" s="971" t="n"/>
      <c r="AU14" s="971" t="n"/>
      <c r="AV14" s="971" t="n"/>
      <c r="AW14" s="969" t="n"/>
      <c r="AX14" s="1051" t="inlineStr">
        <is>
          <t>&lt;CHANGED&gt;.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53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999" t="n">
        <v>3</v>
      </c>
      <c r="C15" s="957" t="n"/>
      <c r="D15" s="955" t="n"/>
      <c r="E15" s="1042" t="inlineStr">
        <is>
          <t>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2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999" t="inlineStr">
        <is>
          <t>Error</t>
        </is>
      </c>
      <c r="AM15" s="957" t="n"/>
      <c r="AN15" s="957" t="n"/>
      <c r="AO15" s="957" t="n"/>
      <c r="AP15" s="955" t="n"/>
      <c r="AQ15" s="1043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3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3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48" t="n"/>
      <c r="C16" s="971" t="n"/>
      <c r="D16" s="969" t="n"/>
      <c r="E16" s="1049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54" t="inlineStr">
        <is>
          <t>master</t>
        </is>
      </c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8" t="n"/>
      <c r="AM16" s="971" t="n"/>
      <c r="AN16" s="971" t="n"/>
      <c r="AO16" s="971" t="n"/>
      <c r="AP16" s="969" t="n"/>
      <c r="AQ16" s="1050" t="n"/>
      <c r="AR16" s="971" t="n"/>
      <c r="AS16" s="971" t="n"/>
      <c r="AT16" s="971" t="n"/>
      <c r="AU16" s="971" t="n"/>
      <c r="AV16" s="971" t="n"/>
      <c r="AW16" s="969" t="n"/>
      <c r="AX16" s="1051" t="inlineStr">
        <is>
          <t>is not set.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1" t="inlineStr">
        <is>
          <t>User : User contact PIC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9" t="n">
        <v>4</v>
      </c>
      <c r="C17" s="957" t="n"/>
      <c r="D17" s="955" t="n"/>
      <c r="E17" s="1042" t="inlineStr">
        <is>
          <t>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2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Info</t>
        </is>
      </c>
      <c r="AM17" s="957" t="n"/>
      <c r="AN17" s="957" t="n"/>
      <c r="AO17" s="957" t="n"/>
      <c r="AP17" s="955" t="n"/>
      <c r="AQ17" s="104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3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3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8" t="n"/>
      <c r="C18" s="971" t="n"/>
      <c r="D18" s="969" t="n"/>
      <c r="E18" s="1049" t="n"/>
      <c r="F18" s="971" t="n"/>
      <c r="G18" s="971" t="n"/>
      <c r="H18" s="971" t="n"/>
      <c r="I18" s="971" t="n"/>
      <c r="J18" s="971" t="n"/>
      <c r="K18" s="971" t="n"/>
      <c r="L18" s="971" t="n"/>
      <c r="M18" s="971" t="n"/>
      <c r="N18" s="971" t="n"/>
      <c r="O18" s="971" t="n"/>
      <c r="P18" s="971" t="n"/>
      <c r="Q18" s="971" t="n"/>
      <c r="R18" s="971" t="n"/>
      <c r="S18" s="969" t="n"/>
      <c r="T18" s="1054" t="inlineStr">
        <is>
          <t>date</t>
        </is>
      </c>
      <c r="U18" s="971" t="n"/>
      <c r="V18" s="971" t="n"/>
      <c r="W18" s="971" t="n"/>
      <c r="X18" s="971" t="n"/>
      <c r="Y18" s="971" t="n"/>
      <c r="Z18" s="971" t="n"/>
      <c r="AA18" s="971" t="n"/>
      <c r="AB18" s="971" t="n"/>
      <c r="AC18" s="971" t="n"/>
      <c r="AD18" s="971" t="n"/>
      <c r="AE18" s="971" t="n"/>
      <c r="AF18" s="971" t="n"/>
      <c r="AG18" s="971" t="n"/>
      <c r="AH18" s="971" t="n"/>
      <c r="AI18" s="971" t="n"/>
      <c r="AJ18" s="971" t="n"/>
      <c r="AK18" s="969" t="n"/>
      <c r="AL18" s="1048" t="n"/>
      <c r="AM18" s="971" t="n"/>
      <c r="AN18" s="971" t="n"/>
      <c r="AO18" s="971" t="n"/>
      <c r="AP18" s="969" t="n"/>
      <c r="AQ18" s="1050" t="n"/>
      <c r="AR18" s="971" t="n"/>
      <c r="AS18" s="971" t="n"/>
      <c r="AT18" s="971" t="n"/>
      <c r="AU18" s="971" t="n"/>
      <c r="AV18" s="971" t="n"/>
      <c r="AW18" s="969" t="n"/>
      <c r="AX18" s="1051" t="inlineStr">
        <is>
          <t>&lt;DATE&gt;.</t>
        </is>
      </c>
      <c r="AY18" s="971" t="n"/>
      <c r="AZ18" s="971" t="n"/>
      <c r="BA18" s="971" t="n"/>
      <c r="BB18" s="971" t="n"/>
      <c r="BC18" s="971" t="n"/>
      <c r="BD18" s="971" t="n"/>
      <c r="BE18" s="971" t="n"/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71" t="n"/>
      <c r="BS18" s="971" t="n"/>
      <c r="BT18" s="971" t="n"/>
      <c r="BU18" s="971" t="n"/>
      <c r="BV18" s="969" t="n"/>
      <c r="BW18" s="1051" t="inlineStr">
        <is>
          <t>User : -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71" t="n"/>
      <c r="CW18" s="971" t="n"/>
      <c r="CX18" s="969" t="n"/>
    </row>
    <row r="19" ht="11.1" customHeight="1" s="710">
      <c r="B19" s="999" t="n">
        <v>5</v>
      </c>
      <c r="C19" s="957" t="n"/>
      <c r="D19" s="955" t="n"/>
      <c r="E19" s="1042" t="inlineStr">
        <is>
          <t>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2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999" t="inlineStr">
        <is>
          <t>Error</t>
        </is>
      </c>
      <c r="AM19" s="957" t="n"/>
      <c r="AN19" s="957" t="n"/>
      <c r="AO19" s="957" t="n"/>
      <c r="AP19" s="955" t="n"/>
      <c r="AQ19" s="104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3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3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48" t="n"/>
      <c r="C20" s="971" t="n"/>
      <c r="D20" s="969" t="n"/>
      <c r="E20" s="1049" t="n"/>
      <c r="F20" s="971" t="n"/>
      <c r="G20" s="971" t="n"/>
      <c r="H20" s="971" t="n"/>
      <c r="I20" s="971" t="n"/>
      <c r="J20" s="971" t="n"/>
      <c r="K20" s="971" t="n"/>
      <c r="L20" s="971" t="n"/>
      <c r="M20" s="971" t="n"/>
      <c r="N20" s="971" t="n"/>
      <c r="O20" s="971" t="n"/>
      <c r="P20" s="971" t="n"/>
      <c r="Q20" s="971" t="n"/>
      <c r="R20" s="971" t="n"/>
      <c r="S20" s="969" t="n"/>
      <c r="T20" s="1049" t="n"/>
      <c r="U20" s="971" t="n"/>
      <c r="V20" s="971" t="n"/>
      <c r="W20" s="971" t="n"/>
      <c r="X20" s="971" t="n"/>
      <c r="Y20" s="971" t="n"/>
      <c r="Z20" s="971" t="n"/>
      <c r="AA20" s="971" t="n"/>
      <c r="AB20" s="971" t="n"/>
      <c r="AC20" s="971" t="n"/>
      <c r="AD20" s="971" t="n"/>
      <c r="AE20" s="971" t="n"/>
      <c r="AF20" s="971" t="n"/>
      <c r="AG20" s="971" t="n"/>
      <c r="AH20" s="971" t="n"/>
      <c r="AI20" s="971" t="n"/>
      <c r="AJ20" s="971" t="n"/>
      <c r="AK20" s="969" t="n"/>
      <c r="AL20" s="1048" t="n"/>
      <c r="AM20" s="971" t="n"/>
      <c r="AN20" s="971" t="n"/>
      <c r="AO20" s="971" t="n"/>
      <c r="AP20" s="969" t="n"/>
      <c r="AQ20" s="1050" t="n"/>
      <c r="AR20" s="971" t="n"/>
      <c r="AS20" s="971" t="n"/>
      <c r="AT20" s="971" t="n"/>
      <c r="AU20" s="971" t="n"/>
      <c r="AV20" s="971" t="n"/>
      <c r="AW20" s="969" t="n"/>
      <c r="AX20" s="1051" t="inlineStr">
        <is>
          <t>&lt;PART_NO&gt;: &lt;ERROR_DETAIL&gt;.</t>
        </is>
      </c>
      <c r="AY20" s="971" t="n"/>
      <c r="AZ20" s="971" t="n"/>
      <c r="BA20" s="971" t="n"/>
      <c r="BB20" s="971" t="n"/>
      <c r="BC20" s="971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69" t="n"/>
      <c r="BW20" s="1051" t="inlineStr">
        <is>
          <t>User : User contact PIC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1" t="n"/>
      <c r="CW20" s="971" t="n"/>
      <c r="CX20" s="969" t="n"/>
    </row>
    <row r="21" ht="11.1" customHeight="1" s="710">
      <c r="B21" s="999" t="n">
        <v>6</v>
      </c>
      <c r="C21" s="957" t="n"/>
      <c r="D21" s="955" t="n"/>
      <c r="E21" s="1042" t="inlineStr">
        <is>
          <t>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2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9" t="inlineStr">
        <is>
          <t>Warning</t>
        </is>
      </c>
      <c r="AM21" s="957" t="n"/>
      <c r="AN21" s="957" t="n"/>
      <c r="AO21" s="957" t="n"/>
      <c r="AP21" s="955" t="n"/>
      <c r="AQ21" s="1043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3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3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8" t="n"/>
      <c r="C22" s="971" t="n"/>
      <c r="D22" s="969" t="n"/>
      <c r="E22" s="1049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9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8" t="n"/>
      <c r="AM22" s="971" t="n"/>
      <c r="AN22" s="971" t="n"/>
      <c r="AO22" s="971" t="n"/>
      <c r="AP22" s="969" t="n"/>
      <c r="AQ22" s="1050" t="n"/>
      <c r="AR22" s="971" t="n"/>
      <c r="AS22" s="971" t="n"/>
      <c r="AT22" s="971" t="n"/>
      <c r="AU22" s="971" t="n"/>
      <c r="AV22" s="971" t="n"/>
      <c r="AW22" s="969" t="n"/>
      <c r="AX22" s="1051" t="inlineStr">
        <is>
          <t>is enabled on Part List.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51" t="inlineStr">
        <is>
          <t>User : Check the cause, then click [Run calculation].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9" t="n">
        <v>7</v>
      </c>
      <c r="C23" s="957" t="n"/>
      <c r="D23" s="955" t="n"/>
      <c r="E23" s="1042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2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3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3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3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8" t="n"/>
      <c r="C24" s="971" t="n"/>
      <c r="D24" s="969" t="n"/>
      <c r="E24" s="1049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9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8" t="n"/>
      <c r="AM24" s="971" t="n"/>
      <c r="AN24" s="971" t="n"/>
      <c r="AO24" s="971" t="n"/>
      <c r="AP24" s="969" t="n"/>
      <c r="AQ24" s="1050" t="n"/>
      <c r="AR24" s="971" t="n"/>
      <c r="AS24" s="971" t="n"/>
      <c r="AT24" s="971" t="n"/>
      <c r="AU24" s="971" t="n"/>
      <c r="AV24" s="971" t="n"/>
      <c r="AW24" s="969" t="n"/>
      <c r="AX24" s="1050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51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5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56" t="inlineStr">
        <is>
          <t>CREATED_DT</t>
        </is>
      </c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7" t="n"/>
      <c r="T27" s="988" t="n"/>
      <c r="U27" s="1056" t="inlineStr">
        <is>
          <t>DATETIME</t>
        </is>
      </c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8" t="n"/>
      <c r="AG27" s="1057" t="n"/>
      <c r="AH27" s="987" t="n"/>
      <c r="AI27" s="988" t="n"/>
      <c r="AJ27" s="1057" t="inlineStr">
        <is>
          <t>N</t>
        </is>
      </c>
      <c r="AK27" s="987" t="n"/>
      <c r="AL27" s="987" t="n"/>
      <c r="AM27" s="988" t="n"/>
      <c r="AN27" s="986" t="inlineStr">
        <is>
          <t>Date and time of the calculation</t>
        </is>
      </c>
      <c r="AO27" s="987" t="n"/>
      <c r="AP27" s="987" t="n"/>
      <c r="AQ27" s="987" t="n"/>
      <c r="AR27" s="987" t="n"/>
      <c r="AS27" s="987" t="n"/>
      <c r="AT27" s="987" t="n"/>
      <c r="AU27" s="987" t="n"/>
      <c r="AV27" s="987" t="n"/>
      <c r="AW27" s="987" t="n"/>
      <c r="AX27" s="987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7" t="n"/>
      <c r="BW27" s="987" t="n"/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8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8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5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9" t="inlineStr">
        <is>
          <t>PK</t>
        </is>
      </c>
      <c r="AH50" s="952" t="n"/>
      <c r="AI50" s="951" t="n"/>
      <c r="AJ50" s="1059" t="inlineStr">
        <is>
          <t>Null</t>
        </is>
      </c>
      <c r="AK50" s="952" t="n"/>
      <c r="AL50" s="952" t="n"/>
      <c r="AM50" s="951" t="n"/>
      <c r="AN50" s="105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0" t="inlineStr">
        <is>
          <t>Y</t>
        </is>
      </c>
      <c r="AH51" s="957" t="n"/>
      <c r="AI51" s="955" t="n"/>
      <c r="AJ51" s="1060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0" t="n"/>
      <c r="AH52" s="957" t="n"/>
      <c r="AI52" s="955" t="n"/>
      <c r="AJ52" s="1060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0" t="n"/>
      <c r="AH53" s="957" t="n"/>
      <c r="AI53" s="955" t="n"/>
      <c r="AJ53" s="1060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0" t="n"/>
      <c r="AH54" s="957" t="n"/>
      <c r="AI54" s="955" t="n"/>
      <c r="AJ54" s="1060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0" t="n"/>
      <c r="AH55" s="957" t="n"/>
      <c r="AI55" s="955" t="n"/>
      <c r="AJ55" s="1060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0" t="n"/>
      <c r="AH56" s="957" t="n"/>
      <c r="AI56" s="955" t="n"/>
      <c r="AJ56" s="1060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0" t="n"/>
      <c r="AH57" s="957" t="n"/>
      <c r="AI57" s="955" t="n"/>
      <c r="AJ57" s="1060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0" t="n"/>
      <c r="AH58" s="957" t="n"/>
      <c r="AI58" s="955" t="n"/>
      <c r="AJ58" s="1060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0" t="n"/>
      <c r="AH59" s="957" t="n"/>
      <c r="AI59" s="955" t="n"/>
      <c r="AJ59" s="1060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0" t="n"/>
      <c r="AH60" s="957" t="n"/>
      <c r="AI60" s="955" t="n"/>
      <c r="AJ60" s="1060" t="inlineStr">
        <is>
          <t>Y</t>
        </is>
      </c>
      <c r="AK60" s="957" t="n"/>
      <c r="AL60" s="957" t="n"/>
      <c r="AM60" s="955" t="n"/>
      <c r="AN60" s="1000" t="inlineStr">
        <is>
          <t>Date-time of the last RPA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0" t="n"/>
      <c r="AH61" s="957" t="n"/>
      <c r="AI61" s="955" t="n"/>
      <c r="AJ61" s="1060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0" t="n"/>
      <c r="AH62" s="957" t="n"/>
      <c r="AI62" s="955" t="n"/>
      <c r="AJ62" s="1060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0" t="n"/>
      <c r="AH63" s="957" t="n"/>
      <c r="AI63" s="955" t="n"/>
      <c r="AJ63" s="1060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0" t="n"/>
      <c r="AH64" s="957" t="n"/>
      <c r="AI64" s="955" t="n"/>
      <c r="AJ64" s="1060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0" t="n"/>
      <c r="AH65" s="957" t="n"/>
      <c r="AI65" s="955" t="n"/>
      <c r="AJ65" s="1060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0" t="n"/>
      <c r="AH66" s="957" t="n"/>
      <c r="AI66" s="955" t="n"/>
      <c r="AJ66" s="1060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3" t="inlineStr">
        <is>
          <t>CHANGED_DT</t>
        </is>
      </c>
      <c r="F67" s="987" t="n"/>
      <c r="G67" s="987" t="n"/>
      <c r="H67" s="987" t="n"/>
      <c r="I67" s="987" t="n"/>
      <c r="J67" s="987" t="n"/>
      <c r="K67" s="987" t="n"/>
      <c r="L67" s="987" t="n"/>
      <c r="M67" s="987" t="n"/>
      <c r="N67" s="987" t="n"/>
      <c r="O67" s="987" t="n"/>
      <c r="P67" s="987" t="n"/>
      <c r="Q67" s="987" t="n"/>
      <c r="R67" s="987" t="n"/>
      <c r="S67" s="987" t="n"/>
      <c r="T67" s="988" t="n"/>
      <c r="U67" s="1003" t="inlineStr">
        <is>
          <t>DATETIME</t>
        </is>
      </c>
      <c r="V67" s="987" t="n"/>
      <c r="W67" s="987" t="n"/>
      <c r="X67" s="987" t="n"/>
      <c r="Y67" s="987" t="n"/>
      <c r="Z67" s="987" t="n"/>
      <c r="AA67" s="987" t="n"/>
      <c r="AB67" s="987" t="n"/>
      <c r="AC67" s="987" t="n"/>
      <c r="AD67" s="987" t="n"/>
      <c r="AE67" s="987" t="n"/>
      <c r="AF67" s="988" t="n"/>
      <c r="AG67" s="1061" t="n"/>
      <c r="AH67" s="987" t="n"/>
      <c r="AI67" s="988" t="n"/>
      <c r="AJ67" s="1061" t="inlineStr">
        <is>
          <t>N</t>
        </is>
      </c>
      <c r="AK67" s="987" t="n"/>
      <c r="AL67" s="987" t="n"/>
      <c r="AM67" s="988" t="n"/>
      <c r="AN67" s="1003" t="inlineStr">
        <is>
          <t>Last changed date and time</t>
        </is>
      </c>
      <c r="AO67" s="987" t="n"/>
      <c r="AP67" s="987" t="n"/>
      <c r="AQ67" s="987" t="n"/>
      <c r="AR67" s="987" t="n"/>
      <c r="AS67" s="987" t="n"/>
      <c r="AT67" s="987" t="n"/>
      <c r="AU67" s="987" t="n"/>
      <c r="AV67" s="987" t="n"/>
      <c r="AW67" s="987" t="n"/>
      <c r="AX67" s="987" t="n"/>
      <c r="AY67" s="987" t="n"/>
      <c r="AZ67" s="987" t="n"/>
      <c r="BA67" s="987" t="n"/>
      <c r="BB67" s="987" t="n"/>
      <c r="BC67" s="987" t="n"/>
      <c r="BD67" s="987" t="n"/>
      <c r="BE67" s="987" t="n"/>
      <c r="BF67" s="987" t="n"/>
      <c r="BG67" s="987" t="n"/>
      <c r="BH67" s="987" t="n"/>
      <c r="BI67" s="987" t="n"/>
      <c r="BJ67" s="987" t="n"/>
      <c r="BK67" s="987" t="n"/>
      <c r="BL67" s="987" t="n"/>
      <c r="BM67" s="987" t="n"/>
      <c r="BN67" s="987" t="n"/>
      <c r="BO67" s="987" t="n"/>
      <c r="BP67" s="987" t="n"/>
      <c r="BQ67" s="987" t="n"/>
      <c r="BR67" s="987" t="n"/>
      <c r="BS67" s="987" t="n"/>
      <c r="BT67" s="987" t="n"/>
      <c r="BU67" s="987" t="n"/>
      <c r="BV67" s="987" t="n"/>
      <c r="BW67" s="987" t="n"/>
      <c r="BX67" s="987" t="n"/>
      <c r="BY67" s="987" t="n"/>
      <c r="BZ67" s="987" t="n"/>
      <c r="CA67" s="987" t="n"/>
      <c r="CB67" s="987" t="n"/>
      <c r="CC67" s="987" t="n"/>
      <c r="CD67" s="987" t="n"/>
      <c r="CE67" s="987" t="n"/>
      <c r="CF67" s="987" t="n"/>
      <c r="CG67" s="987" t="n"/>
      <c r="CH67" s="987" t="n"/>
      <c r="CI67" s="987" t="n"/>
      <c r="CJ67" s="987" t="n"/>
      <c r="CK67" s="987" t="n"/>
      <c r="CL67" s="987" t="n"/>
      <c r="CM67" s="987" t="n"/>
      <c r="CN67" s="987" t="n"/>
      <c r="CO67" s="987" t="n"/>
      <c r="CP67" s="987" t="n"/>
      <c r="CQ67" s="987" t="n"/>
      <c r="CR67" s="987" t="n"/>
      <c r="CS67" s="988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6" t="inlineStr">
        <is>
          <t>TB_R_ACTUAL_DEMAND_SUMMARY</t>
        </is>
      </c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19" t="inlineStr">
        <is>
          <t>Transaction table - Actual demand summary replicated from DB Surrounding to NSP (same columns). Key (PK) proposed from the data; types follow the source table.</t>
        </is>
      </c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5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9" t="inlineStr">
        <is>
          <t>PK</t>
        </is>
      </c>
      <c r="AH92" s="952" t="n"/>
      <c r="AI92" s="951" t="n"/>
      <c r="AJ92" s="1059" t="inlineStr">
        <is>
          <t>Null</t>
        </is>
      </c>
      <c r="AK92" s="952" t="n"/>
      <c r="AL92" s="952" t="n"/>
      <c r="AM92" s="951" t="n"/>
      <c r="AN92" s="105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0" t="inlineStr">
        <is>
          <t>Y</t>
        </is>
      </c>
      <c r="AH93" s="957" t="n"/>
      <c r="AI93" s="955" t="n"/>
      <c r="AJ93" s="1060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0" t="inlineStr">
        <is>
          <t>Y</t>
        </is>
      </c>
      <c r="AH94" s="957" t="n"/>
      <c r="AI94" s="955" t="n"/>
      <c r="AJ94" s="1060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0" t="inlineStr">
        <is>
          <t>Y</t>
        </is>
      </c>
      <c r="AH95" s="957" t="n"/>
      <c r="AI95" s="955" t="n"/>
      <c r="AJ95" s="1060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0" t="inlineStr">
        <is>
          <t>Y</t>
        </is>
      </c>
      <c r="AH96" s="957" t="n"/>
      <c r="AI96" s="955" t="n"/>
      <c r="AJ96" s="1060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0" t="inlineStr">
        <is>
          <t>Y</t>
        </is>
      </c>
      <c r="AH97" s="957" t="n"/>
      <c r="AI97" s="955" t="n"/>
      <c r="AJ97" s="1060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0" t="n"/>
      <c r="AH98" s="957" t="n"/>
      <c r="AI98" s="955" t="n"/>
      <c r="AJ98" s="1060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0" t="n"/>
      <c r="AH99" s="957" t="n"/>
      <c r="AI99" s="955" t="n"/>
      <c r="AJ99" s="1060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0" t="n"/>
      <c r="AH100" s="957" t="n"/>
      <c r="AI100" s="955" t="n"/>
      <c r="AJ100" s="1060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0" t="n"/>
      <c r="AH101" s="957" t="n"/>
      <c r="AI101" s="955" t="n"/>
      <c r="AJ101" s="1060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0" t="n"/>
      <c r="AH102" s="957" t="n"/>
      <c r="AI102" s="955" t="n"/>
      <c r="AJ102" s="1060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0" t="n"/>
      <c r="AH103" s="957" t="n"/>
      <c r="AI103" s="955" t="n"/>
      <c r="AJ103" s="1060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0" t="n"/>
      <c r="AH104" s="957" t="n"/>
      <c r="AI104" s="955" t="n"/>
      <c r="AJ104" s="1060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0" t="n"/>
      <c r="AH105" s="957" t="n"/>
      <c r="AI105" s="955" t="n"/>
      <c r="AJ105" s="1060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0" t="n"/>
      <c r="AH106" s="957" t="n"/>
      <c r="AI106" s="955" t="n"/>
      <c r="AJ106" s="1060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60" t="n"/>
      <c r="AH107" s="957" t="n"/>
      <c r="AI107" s="955" t="n"/>
      <c r="AJ107" s="1060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0" t="n"/>
      <c r="AH108" s="957" t="n"/>
      <c r="AI108" s="955" t="n"/>
      <c r="AJ108" s="1060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0" t="n"/>
      <c r="AH109" s="957" t="n"/>
      <c r="AI109" s="955" t="n"/>
      <c r="AJ109" s="1060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0" t="n"/>
      <c r="AH110" s="957" t="n"/>
      <c r="AI110" s="955" t="n"/>
      <c r="AJ110" s="1060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0" t="n"/>
      <c r="AH111" s="957" t="n"/>
      <c r="AI111" s="955" t="n"/>
      <c r="AJ111" s="1060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3" t="inlineStr">
        <is>
          <t>EM_MS_FLAG</t>
        </is>
      </c>
      <c r="F112" s="987" t="n"/>
      <c r="G112" s="987" t="n"/>
      <c r="H112" s="987" t="n"/>
      <c r="I112" s="987" t="n"/>
      <c r="J112" s="987" t="n"/>
      <c r="K112" s="987" t="n"/>
      <c r="L112" s="987" t="n"/>
      <c r="M112" s="987" t="n"/>
      <c r="N112" s="987" t="n"/>
      <c r="O112" s="987" t="n"/>
      <c r="P112" s="987" t="n"/>
      <c r="Q112" s="987" t="n"/>
      <c r="R112" s="987" t="n"/>
      <c r="S112" s="987" t="n"/>
      <c r="T112" s="988" t="n"/>
      <c r="U112" s="1003" t="inlineStr">
        <is>
          <t>CHAR(1)</t>
        </is>
      </c>
      <c r="V112" s="987" t="n"/>
      <c r="W112" s="987" t="n"/>
      <c r="X112" s="987" t="n"/>
      <c r="Y112" s="987" t="n"/>
      <c r="Z112" s="987" t="n"/>
      <c r="AA112" s="987" t="n"/>
      <c r="AB112" s="987" t="n"/>
      <c r="AC112" s="987" t="n"/>
      <c r="AD112" s="987" t="n"/>
      <c r="AE112" s="987" t="n"/>
      <c r="AF112" s="988" t="n"/>
      <c r="AG112" s="1061" t="n"/>
      <c r="AH112" s="987" t="n"/>
      <c r="AI112" s="988" t="n"/>
      <c r="AJ112" s="1061" t="inlineStr">
        <is>
          <t>Y</t>
        </is>
      </c>
      <c r="AK112" s="987" t="n"/>
      <c r="AL112" s="987" t="n"/>
      <c r="AM112" s="988" t="n"/>
      <c r="AN112" s="1003" t="inlineStr">
        <is>
          <t>EM / MS flag (not used by Crossdock)</t>
        </is>
      </c>
      <c r="AO112" s="987" t="n"/>
      <c r="AP112" s="987" t="n"/>
      <c r="AQ112" s="987" t="n"/>
      <c r="AR112" s="987" t="n"/>
      <c r="AS112" s="987" t="n"/>
      <c r="AT112" s="987" t="n"/>
      <c r="AU112" s="987" t="n"/>
      <c r="AV112" s="987" t="n"/>
      <c r="AW112" s="987" t="n"/>
      <c r="AX112" s="987" t="n"/>
      <c r="AY112" s="987" t="n"/>
      <c r="AZ112" s="987" t="n"/>
      <c r="BA112" s="987" t="n"/>
      <c r="BB112" s="987" t="n"/>
      <c r="BC112" s="987" t="n"/>
      <c r="BD112" s="987" t="n"/>
      <c r="BE112" s="987" t="n"/>
      <c r="BF112" s="987" t="n"/>
      <c r="BG112" s="987" t="n"/>
      <c r="BH112" s="987" t="n"/>
      <c r="BI112" s="987" t="n"/>
      <c r="BJ112" s="987" t="n"/>
      <c r="BK112" s="987" t="n"/>
      <c r="BL112" s="987" t="n"/>
      <c r="BM112" s="987" t="n"/>
      <c r="BN112" s="987" t="n"/>
      <c r="BO112" s="987" t="n"/>
      <c r="BP112" s="987" t="n"/>
      <c r="BQ112" s="987" t="n"/>
      <c r="BR112" s="987" t="n"/>
      <c r="BS112" s="987" t="n"/>
      <c r="BT112" s="987" t="n"/>
      <c r="BU112" s="987" t="n"/>
      <c r="BV112" s="987" t="n"/>
      <c r="BW112" s="987" t="n"/>
      <c r="BX112" s="987" t="n"/>
      <c r="BY112" s="987" t="n"/>
      <c r="BZ112" s="987" t="n"/>
      <c r="CA112" s="987" t="n"/>
      <c r="CB112" s="987" t="n"/>
      <c r="CC112" s="987" t="n"/>
      <c r="CD112" s="987" t="n"/>
      <c r="CE112" s="987" t="n"/>
      <c r="CF112" s="987" t="n"/>
      <c r="CG112" s="987" t="n"/>
      <c r="CH112" s="987" t="n"/>
      <c r="CI112" s="987" t="n"/>
      <c r="CJ112" s="987" t="n"/>
      <c r="CK112" s="987" t="n"/>
      <c r="CL112" s="987" t="n"/>
      <c r="CM112" s="987" t="n"/>
      <c r="CN112" s="987" t="n"/>
      <c r="CO112" s="987" t="n"/>
      <c r="CP112" s="987" t="n"/>
      <c r="CQ112" s="987" t="n"/>
      <c r="CR112" s="987" t="n"/>
      <c r="CS112" s="988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6" t="inlineStr">
        <is>
          <t>TB_H_PART_CANDIDATE (proposed)</t>
        </is>
      </c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19" t="inlineStr">
        <is>
          <t>the History setting modal of Part List (index PART_NO, CREATED_DT). Proposed retention: 24 months online by CREATED_DT; a monthly housekeeping job deletes older records (period</t>
        </is>
      </c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19" t="inlineStr">
        <is>
          <t>configurable in system master). To be confirmed.</t>
        </is>
      </c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59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9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9" t="inlineStr">
        <is>
          <t>PK</t>
        </is>
      </c>
      <c r="AH134" s="952" t="n"/>
      <c r="AI134" s="951" t="n"/>
      <c r="AJ134" s="1059" t="inlineStr">
        <is>
          <t>Null</t>
        </is>
      </c>
      <c r="AK134" s="952" t="n"/>
      <c r="AL134" s="952" t="n"/>
      <c r="AM134" s="951" t="n"/>
      <c r="AN134" s="1059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0" t="inlineStr">
        <is>
          <t>Y</t>
        </is>
      </c>
      <c r="AH135" s="957" t="n"/>
      <c r="AI135" s="955" t="n"/>
      <c r="AJ135" s="1060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60" t="n"/>
      <c r="AH136" s="957" t="n"/>
      <c r="AI136" s="955" t="n"/>
      <c r="AJ136" s="1060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60" t="n"/>
      <c r="AH137" s="957" t="n"/>
      <c r="AI137" s="955" t="n"/>
      <c r="AJ137" s="1060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3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60" t="n"/>
      <c r="AH138" s="957" t="n"/>
      <c r="AI138" s="955" t="n"/>
      <c r="AJ138" s="1060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1060" t="n"/>
      <c r="AH139" s="957" t="n"/>
      <c r="AI139" s="955" t="n"/>
      <c r="AJ139" s="1060" t="inlineStr">
        <is>
          <t>N</t>
        </is>
      </c>
      <c r="AK139" s="957" t="n"/>
      <c r="AL139" s="957" t="n"/>
      <c r="AM139" s="955" t="n"/>
      <c r="AN139" s="1000" t="inlineStr">
        <is>
          <t>SCREEN / UPLOAD / RPA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60" t="n"/>
      <c r="AH140" s="957" t="n"/>
      <c r="AI140" s="955" t="n"/>
      <c r="AJ140" s="1060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0" t="n"/>
      <c r="AH141" s="957" t="n"/>
      <c r="AI141" s="955" t="n"/>
      <c r="AJ141" s="1060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0" t="n"/>
      <c r="AH142" s="957" t="n"/>
      <c r="AI142" s="955" t="n"/>
      <c r="AJ142" s="1060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2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02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2" t="n"/>
      <c r="AH143" s="961" t="n"/>
      <c r="AI143" s="959" t="n"/>
      <c r="AJ143" s="1062" t="n"/>
      <c r="AK143" s="961" t="n"/>
      <c r="AL143" s="961" t="n"/>
      <c r="AM143" s="959" t="n"/>
      <c r="AN143" s="1002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0" t="n"/>
      <c r="AH144" s="957" t="n"/>
      <c r="AI144" s="955" t="n"/>
      <c r="AJ144" s="1060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0" t="n"/>
      <c r="AH145" s="957" t="n"/>
      <c r="AI145" s="955" t="n"/>
      <c r="AJ145" s="1060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0" t="n"/>
      <c r="AH146" s="957" t="n"/>
      <c r="AI146" s="955" t="n"/>
      <c r="AJ146" s="1060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0" t="n"/>
      <c r="AH147" s="957" t="n"/>
      <c r="AI147" s="955" t="n"/>
      <c r="AJ147" s="1060" t="inlineStr">
        <is>
          <t>N</t>
        </is>
      </c>
      <c r="AK147" s="957" t="n"/>
      <c r="AL147" s="957" t="n"/>
      <c r="AM147" s="955" t="n"/>
      <c r="AN147" s="1000" t="inlineStr">
        <is>
          <t>User who made the change (RPA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3" t="inlineStr">
        <is>
          <t>CREATED_DT</t>
        </is>
      </c>
      <c r="F148" s="987" t="n"/>
      <c r="G148" s="987" t="n"/>
      <c r="H148" s="987" t="n"/>
      <c r="I148" s="987" t="n"/>
      <c r="J148" s="987" t="n"/>
      <c r="K148" s="987" t="n"/>
      <c r="L148" s="987" t="n"/>
      <c r="M148" s="987" t="n"/>
      <c r="N148" s="987" t="n"/>
      <c r="O148" s="987" t="n"/>
      <c r="P148" s="987" t="n"/>
      <c r="Q148" s="987" t="n"/>
      <c r="R148" s="987" t="n"/>
      <c r="S148" s="987" t="n"/>
      <c r="T148" s="988" t="n"/>
      <c r="U148" s="1003" t="inlineStr">
        <is>
          <t>DATETIME</t>
        </is>
      </c>
      <c r="V148" s="987" t="n"/>
      <c r="W148" s="987" t="n"/>
      <c r="X148" s="987" t="n"/>
      <c r="Y148" s="987" t="n"/>
      <c r="Z148" s="987" t="n"/>
      <c r="AA148" s="987" t="n"/>
      <c r="AB148" s="987" t="n"/>
      <c r="AC148" s="987" t="n"/>
      <c r="AD148" s="987" t="n"/>
      <c r="AE148" s="987" t="n"/>
      <c r="AF148" s="988" t="n"/>
      <c r="AG148" s="1061" t="n"/>
      <c r="AH148" s="987" t="n"/>
      <c r="AI148" s="988" t="n"/>
      <c r="AJ148" s="1061" t="inlineStr">
        <is>
          <t>N</t>
        </is>
      </c>
      <c r="AK148" s="987" t="n"/>
      <c r="AL148" s="987" t="n"/>
      <c r="AM148" s="988" t="n"/>
      <c r="AN148" s="1003" t="inlineStr">
        <is>
          <t>Date and time of the change</t>
        </is>
      </c>
      <c r="AO148" s="987" t="n"/>
      <c r="AP148" s="987" t="n"/>
      <c r="AQ148" s="987" t="n"/>
      <c r="AR148" s="987" t="n"/>
      <c r="AS148" s="987" t="n"/>
      <c r="AT148" s="987" t="n"/>
      <c r="AU148" s="987" t="n"/>
      <c r="AV148" s="987" t="n"/>
      <c r="AW148" s="987" t="n"/>
      <c r="AX148" s="987" t="n"/>
      <c r="AY148" s="987" t="n"/>
      <c r="AZ148" s="987" t="n"/>
      <c r="BA148" s="987" t="n"/>
      <c r="BB148" s="987" t="n"/>
      <c r="BC148" s="987" t="n"/>
      <c r="BD148" s="987" t="n"/>
      <c r="BE148" s="987" t="n"/>
      <c r="BF148" s="987" t="n"/>
      <c r="BG148" s="987" t="n"/>
      <c r="BH148" s="987" t="n"/>
      <c r="BI148" s="987" t="n"/>
      <c r="BJ148" s="987" t="n"/>
      <c r="BK148" s="987" t="n"/>
      <c r="BL148" s="987" t="n"/>
      <c r="BM148" s="987" t="n"/>
      <c r="BN148" s="987" t="n"/>
      <c r="BO148" s="987" t="n"/>
      <c r="BP148" s="987" t="n"/>
      <c r="BQ148" s="987" t="n"/>
      <c r="BR148" s="987" t="n"/>
      <c r="BS148" s="987" t="n"/>
      <c r="BT148" s="987" t="n"/>
      <c r="BU148" s="987" t="n"/>
      <c r="BV148" s="987" t="n"/>
      <c r="BW148" s="987" t="n"/>
      <c r="BX148" s="987" t="n"/>
      <c r="BY148" s="987" t="n"/>
      <c r="BZ148" s="987" t="n"/>
      <c r="CA148" s="987" t="n"/>
      <c r="CB148" s="987" t="n"/>
      <c r="CC148" s="987" t="n"/>
      <c r="CD148" s="987" t="n"/>
      <c r="CE148" s="987" t="n"/>
      <c r="CF148" s="987" t="n"/>
      <c r="CG148" s="987" t="n"/>
      <c r="CH148" s="987" t="n"/>
      <c r="CI148" s="987" t="n"/>
      <c r="CJ148" s="987" t="n"/>
      <c r="CK148" s="987" t="n"/>
      <c r="CL148" s="987" t="n"/>
      <c r="CM148" s="987" t="n"/>
      <c r="CN148" s="987" t="n"/>
      <c r="CO148" s="987" t="n"/>
      <c r="CP148" s="987" t="n"/>
      <c r="CQ148" s="987" t="n"/>
      <c r="CR148" s="987" t="n"/>
      <c r="CS148" s="988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993" t="n"/>
      <c r="F149" s="993" t="n"/>
      <c r="G149" s="993" t="n"/>
      <c r="H149" s="993" t="n"/>
      <c r="I149" s="993" t="n"/>
      <c r="J149" s="993" t="n"/>
      <c r="K149" s="993" t="n"/>
      <c r="L149" s="993" t="n"/>
      <c r="M149" s="993" t="n"/>
      <c r="N149" s="993" t="n"/>
      <c r="O149" s="993" t="n"/>
      <c r="P149" s="993" t="n"/>
      <c r="Q149" s="993" t="n"/>
      <c r="R149" s="993" t="n"/>
      <c r="S149" s="993" t="n"/>
      <c r="T149" s="993" t="n"/>
      <c r="U149" s="993" t="n"/>
      <c r="V149" s="993" t="n"/>
      <c r="W149" s="993" t="n"/>
      <c r="X149" s="993" t="n"/>
      <c r="Y149" s="993" t="n"/>
      <c r="Z149" s="993" t="n"/>
      <c r="AA149" s="993" t="n"/>
      <c r="AB149" s="993" t="n"/>
      <c r="AC149" s="993" t="n"/>
      <c r="AD149" s="993" t="n"/>
      <c r="AE149" s="993" t="n"/>
      <c r="AF149" s="993" t="n"/>
      <c r="AG149" s="993" t="n"/>
      <c r="AH149" s="993" t="n"/>
      <c r="AI149" s="993" t="n"/>
      <c r="AJ149" s="993" t="n"/>
      <c r="AK149" s="993" t="n"/>
      <c r="AL149" s="993" t="n"/>
      <c r="AM149" s="993" t="n"/>
      <c r="AN149" s="993" t="n"/>
      <c r="AO149" s="993" t="n"/>
      <c r="AP149" s="993" t="n"/>
      <c r="AQ149" s="993" t="n"/>
      <c r="AR149" s="993" t="n"/>
      <c r="AS149" s="993" t="n"/>
      <c r="AT149" s="993" t="n"/>
      <c r="AU149" s="993" t="n"/>
      <c r="AV149" s="993" t="n"/>
      <c r="AW149" s="993" t="n"/>
      <c r="AX149" s="993" t="n"/>
      <c r="AY149" s="993" t="n"/>
      <c r="AZ149" s="993" t="n"/>
      <c r="BA149" s="993" t="n"/>
      <c r="BB149" s="993" t="n"/>
      <c r="BC149" s="993" t="n"/>
      <c r="BD149" s="993" t="n"/>
      <c r="BE149" s="993" t="n"/>
      <c r="BF149" s="993" t="n"/>
      <c r="BG149" s="993" t="n"/>
      <c r="BH149" s="993" t="n"/>
      <c r="BI149" s="993" t="n"/>
      <c r="BJ149" s="993" t="n"/>
      <c r="BK149" s="993" t="n"/>
      <c r="BL149" s="993" t="n"/>
      <c r="BM149" s="993" t="n"/>
      <c r="BN149" s="993" t="n"/>
      <c r="BO149" s="993" t="n"/>
      <c r="BP149" s="993" t="n"/>
      <c r="BQ149" s="993" t="n"/>
      <c r="BR149" s="993" t="n"/>
      <c r="BS149" s="993" t="n"/>
      <c r="BT149" s="993" t="n"/>
      <c r="BU149" s="993" t="n"/>
      <c r="BV149" s="993" t="n"/>
      <c r="BW149" s="993" t="n"/>
      <c r="BX149" s="993" t="n"/>
      <c r="BY149" s="993" t="n"/>
      <c r="BZ149" s="993" t="n"/>
      <c r="CA149" s="993" t="n"/>
      <c r="CB149" s="993" t="n"/>
      <c r="CC149" s="993" t="n"/>
      <c r="CD149" s="993" t="n"/>
      <c r="CE149" s="993" t="n"/>
      <c r="CF149" s="993" t="n"/>
      <c r="CG149" s="993" t="n"/>
      <c r="CH149" s="993" t="n"/>
      <c r="CI149" s="993" t="n"/>
      <c r="CJ149" s="993" t="n"/>
      <c r="CK149" s="993" t="n"/>
      <c r="CL149" s="993" t="n"/>
      <c r="CM149" s="993" t="n"/>
      <c r="CN149" s="993" t="n"/>
      <c r="CO149" s="993" t="n"/>
      <c r="CP149" s="993" t="n"/>
      <c r="CQ149" s="993" t="n"/>
      <c r="CR149" s="993" t="n"/>
      <c r="CS149" s="993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993" t="n"/>
      <c r="F150" s="993" t="n"/>
      <c r="G150" s="993" t="n"/>
      <c r="H150" s="993" t="n"/>
      <c r="I150" s="993" t="n"/>
      <c r="J150" s="993" t="n"/>
      <c r="K150" s="993" t="n"/>
      <c r="L150" s="993" t="n"/>
      <c r="M150" s="993" t="n"/>
      <c r="N150" s="993" t="n"/>
      <c r="O150" s="993" t="n"/>
      <c r="P150" s="993" t="n"/>
      <c r="Q150" s="993" t="n"/>
      <c r="R150" s="993" t="n"/>
      <c r="S150" s="993" t="n"/>
      <c r="T150" s="993" t="n"/>
      <c r="U150" s="993" t="n"/>
      <c r="V150" s="993" t="n"/>
      <c r="W150" s="993" t="n"/>
      <c r="X150" s="993" t="n"/>
      <c r="Y150" s="993" t="n"/>
      <c r="Z150" s="993" t="n"/>
      <c r="AA150" s="993" t="n"/>
      <c r="AB150" s="993" t="n"/>
      <c r="AC150" s="993" t="n"/>
      <c r="AD150" s="993" t="n"/>
      <c r="AE150" s="993" t="n"/>
      <c r="AF150" s="993" t="n"/>
      <c r="AG150" s="993" t="n"/>
      <c r="AH150" s="993" t="n"/>
      <c r="AI150" s="993" t="n"/>
      <c r="AJ150" s="993" t="n"/>
      <c r="AK150" s="993" t="n"/>
      <c r="AL150" s="993" t="n"/>
      <c r="AM150" s="993" t="n"/>
      <c r="AN150" s="993" t="n"/>
      <c r="AO150" s="993" t="n"/>
      <c r="AP150" s="993" t="n"/>
      <c r="AQ150" s="993" t="n"/>
      <c r="AR150" s="993" t="n"/>
      <c r="AS150" s="993" t="n"/>
      <c r="AT150" s="993" t="n"/>
      <c r="AU150" s="993" t="n"/>
      <c r="AV150" s="993" t="n"/>
      <c r="AW150" s="993" t="n"/>
      <c r="AX150" s="993" t="n"/>
      <c r="AY150" s="993" t="n"/>
      <c r="AZ150" s="993" t="n"/>
      <c r="BA150" s="993" t="n"/>
      <c r="BB150" s="993" t="n"/>
      <c r="BC150" s="993" t="n"/>
      <c r="BD150" s="993" t="n"/>
      <c r="BE150" s="993" t="n"/>
      <c r="BF150" s="993" t="n"/>
      <c r="BG150" s="993" t="n"/>
      <c r="BH150" s="993" t="n"/>
      <c r="BI150" s="993" t="n"/>
      <c r="BJ150" s="993" t="n"/>
      <c r="BK150" s="993" t="n"/>
      <c r="BL150" s="993" t="n"/>
      <c r="BM150" s="993" t="n"/>
      <c r="BN150" s="993" t="n"/>
      <c r="BO150" s="993" t="n"/>
      <c r="BP150" s="993" t="n"/>
      <c r="BQ150" s="993" t="n"/>
      <c r="BR150" s="993" t="n"/>
      <c r="BS150" s="993" t="n"/>
      <c r="BT150" s="993" t="n"/>
      <c r="BU150" s="993" t="n"/>
      <c r="BV150" s="993" t="n"/>
      <c r="BW150" s="993" t="n"/>
      <c r="BX150" s="993" t="n"/>
      <c r="BY150" s="993" t="n"/>
      <c r="BZ150" s="993" t="n"/>
      <c r="CA150" s="993" t="n"/>
      <c r="CB150" s="993" t="n"/>
      <c r="CC150" s="993" t="n"/>
      <c r="CD150" s="993" t="n"/>
      <c r="CE150" s="993" t="n"/>
      <c r="CF150" s="993" t="n"/>
      <c r="CG150" s="993" t="n"/>
      <c r="CH150" s="993" t="n"/>
      <c r="CI150" s="993" t="n"/>
      <c r="CJ150" s="993" t="n"/>
      <c r="CK150" s="993" t="n"/>
      <c r="CL150" s="993" t="n"/>
      <c r="CM150" s="993" t="n"/>
      <c r="CN150" s="993" t="n"/>
      <c r="CO150" s="993" t="n"/>
      <c r="CP150" s="993" t="n"/>
      <c r="CQ150" s="993" t="n"/>
      <c r="CR150" s="993" t="n"/>
      <c r="CS150" s="993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993" t="n"/>
      <c r="F151" s="993" t="n"/>
      <c r="G151" s="993" t="n"/>
      <c r="H151" s="993" t="n"/>
      <c r="I151" s="993" t="n"/>
      <c r="J151" s="993" t="n"/>
      <c r="K151" s="993" t="n"/>
      <c r="L151" s="993" t="n"/>
      <c r="M151" s="993" t="n"/>
      <c r="N151" s="993" t="n"/>
      <c r="O151" s="993" t="n"/>
      <c r="P151" s="993" t="n"/>
      <c r="Q151" s="993" t="n"/>
      <c r="R151" s="993" t="n"/>
      <c r="S151" s="993" t="n"/>
      <c r="T151" s="993" t="n"/>
      <c r="U151" s="993" t="n"/>
      <c r="V151" s="993" t="n"/>
      <c r="W151" s="993" t="n"/>
      <c r="X151" s="993" t="n"/>
      <c r="Y151" s="993" t="n"/>
      <c r="Z151" s="993" t="n"/>
      <c r="AA151" s="993" t="n"/>
      <c r="AB151" s="993" t="n"/>
      <c r="AC151" s="993" t="n"/>
      <c r="AD151" s="993" t="n"/>
      <c r="AE151" s="993" t="n"/>
      <c r="AF151" s="993" t="n"/>
      <c r="AG151" s="993" t="n"/>
      <c r="AH151" s="993" t="n"/>
      <c r="AI151" s="993" t="n"/>
      <c r="AJ151" s="993" t="n"/>
      <c r="AK151" s="993" t="n"/>
      <c r="AL151" s="993" t="n"/>
      <c r="AM151" s="993" t="n"/>
      <c r="AN151" s="993" t="n"/>
      <c r="AO151" s="993" t="n"/>
      <c r="AP151" s="993" t="n"/>
      <c r="AQ151" s="993" t="n"/>
      <c r="AR151" s="993" t="n"/>
      <c r="AS151" s="993" t="n"/>
      <c r="AT151" s="993" t="n"/>
      <c r="AU151" s="993" t="n"/>
      <c r="AV151" s="993" t="n"/>
      <c r="AW151" s="993" t="n"/>
      <c r="AX151" s="993" t="n"/>
      <c r="AY151" s="993" t="n"/>
      <c r="AZ151" s="993" t="n"/>
      <c r="BA151" s="993" t="n"/>
      <c r="BB151" s="993" t="n"/>
      <c r="BC151" s="993" t="n"/>
      <c r="BD151" s="993" t="n"/>
      <c r="BE151" s="993" t="n"/>
      <c r="BF151" s="993" t="n"/>
      <c r="BG151" s="993" t="n"/>
      <c r="BH151" s="993" t="n"/>
      <c r="BI151" s="993" t="n"/>
      <c r="BJ151" s="993" t="n"/>
      <c r="BK151" s="993" t="n"/>
      <c r="BL151" s="993" t="n"/>
      <c r="BM151" s="993" t="n"/>
      <c r="BN151" s="993" t="n"/>
      <c r="BO151" s="993" t="n"/>
      <c r="BP151" s="993" t="n"/>
      <c r="BQ151" s="993" t="n"/>
      <c r="BR151" s="993" t="n"/>
      <c r="BS151" s="993" t="n"/>
      <c r="BT151" s="993" t="n"/>
      <c r="BU151" s="993" t="n"/>
      <c r="BV151" s="993" t="n"/>
      <c r="BW151" s="993" t="n"/>
      <c r="BX151" s="993" t="n"/>
      <c r="BY151" s="993" t="n"/>
      <c r="BZ151" s="993" t="n"/>
      <c r="CA151" s="993" t="n"/>
      <c r="CB151" s="993" t="n"/>
      <c r="CC151" s="993" t="n"/>
      <c r="CD151" s="993" t="n"/>
      <c r="CE151" s="993" t="n"/>
      <c r="CF151" s="993" t="n"/>
      <c r="CG151" s="993" t="n"/>
      <c r="CH151" s="993" t="n"/>
      <c r="CI151" s="993" t="n"/>
      <c r="CJ151" s="993" t="n"/>
      <c r="CK151" s="993" t="n"/>
      <c r="CL151" s="993" t="n"/>
      <c r="CM151" s="993" t="n"/>
      <c r="CN151" s="993" t="n"/>
      <c r="CO151" s="993" t="n"/>
      <c r="CP151" s="993" t="n"/>
      <c r="CQ151" s="993" t="n"/>
      <c r="CR151" s="993" t="n"/>
      <c r="CS151" s="993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993" t="n"/>
      <c r="F152" s="993" t="n"/>
      <c r="G152" s="993" t="n"/>
      <c r="H152" s="993" t="n"/>
      <c r="I152" s="993" t="n"/>
      <c r="J152" s="993" t="n"/>
      <c r="K152" s="993" t="n"/>
      <c r="L152" s="993" t="n"/>
      <c r="M152" s="993" t="n"/>
      <c r="N152" s="993" t="n"/>
      <c r="O152" s="993" t="n"/>
      <c r="P152" s="993" t="n"/>
      <c r="Q152" s="993" t="n"/>
      <c r="R152" s="993" t="n"/>
      <c r="S152" s="993" t="n"/>
      <c r="T152" s="993" t="n"/>
      <c r="U152" s="993" t="n"/>
      <c r="V152" s="993" t="n"/>
      <c r="W152" s="993" t="n"/>
      <c r="X152" s="993" t="n"/>
      <c r="Y152" s="993" t="n"/>
      <c r="Z152" s="993" t="n"/>
      <c r="AA152" s="993" t="n"/>
      <c r="AB152" s="993" t="n"/>
      <c r="AC152" s="993" t="n"/>
      <c r="AD152" s="993" t="n"/>
      <c r="AE152" s="993" t="n"/>
      <c r="AF152" s="993" t="n"/>
      <c r="AG152" s="993" t="n"/>
      <c r="AH152" s="993" t="n"/>
      <c r="AI152" s="993" t="n"/>
      <c r="AJ152" s="993" t="n"/>
      <c r="AK152" s="993" t="n"/>
      <c r="AL152" s="993" t="n"/>
      <c r="AM152" s="993" t="n"/>
      <c r="AN152" s="993" t="n"/>
      <c r="AO152" s="993" t="n"/>
      <c r="AP152" s="993" t="n"/>
      <c r="AQ152" s="993" t="n"/>
      <c r="AR152" s="993" t="n"/>
      <c r="AS152" s="993" t="n"/>
      <c r="AT152" s="993" t="n"/>
      <c r="AU152" s="993" t="n"/>
      <c r="AV152" s="993" t="n"/>
      <c r="AW152" s="993" t="n"/>
      <c r="AX152" s="993" t="n"/>
      <c r="AY152" s="993" t="n"/>
      <c r="AZ152" s="993" t="n"/>
      <c r="BA152" s="993" t="n"/>
      <c r="BB152" s="993" t="n"/>
      <c r="BC152" s="993" t="n"/>
      <c r="BD152" s="993" t="n"/>
      <c r="BE152" s="993" t="n"/>
      <c r="BF152" s="993" t="n"/>
      <c r="BG152" s="993" t="n"/>
      <c r="BH152" s="993" t="n"/>
      <c r="BI152" s="993" t="n"/>
      <c r="BJ152" s="993" t="n"/>
      <c r="BK152" s="993" t="n"/>
      <c r="BL152" s="993" t="n"/>
      <c r="BM152" s="993" t="n"/>
      <c r="BN152" s="993" t="n"/>
      <c r="BO152" s="993" t="n"/>
      <c r="BP152" s="993" t="n"/>
      <c r="BQ152" s="993" t="n"/>
      <c r="BR152" s="993" t="n"/>
      <c r="BS152" s="993" t="n"/>
      <c r="BT152" s="993" t="n"/>
      <c r="BU152" s="993" t="n"/>
      <c r="BV152" s="993" t="n"/>
      <c r="BW152" s="993" t="n"/>
      <c r="BX152" s="993" t="n"/>
      <c r="BY152" s="993" t="n"/>
      <c r="BZ152" s="993" t="n"/>
      <c r="CA152" s="993" t="n"/>
      <c r="CB152" s="993" t="n"/>
      <c r="CC152" s="993" t="n"/>
      <c r="CD152" s="993" t="n"/>
      <c r="CE152" s="993" t="n"/>
      <c r="CF152" s="993" t="n"/>
      <c r="CG152" s="993" t="n"/>
      <c r="CH152" s="993" t="n"/>
      <c r="CI152" s="993" t="n"/>
      <c r="CJ152" s="993" t="n"/>
      <c r="CK152" s="993" t="n"/>
      <c r="CL152" s="993" t="n"/>
      <c r="CM152" s="993" t="n"/>
      <c r="CN152" s="993" t="n"/>
      <c r="CO152" s="993" t="n"/>
      <c r="CP152" s="993" t="n"/>
      <c r="CQ152" s="993" t="n"/>
      <c r="CR152" s="993" t="n"/>
      <c r="CS152" s="993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4" t="n"/>
      <c r="C174" s="1005" t="n"/>
      <c r="D174" s="1005" t="n"/>
      <c r="E174" s="1005" t="n"/>
      <c r="F174" s="1005" t="n"/>
      <c r="G174" s="1005" t="n"/>
      <c r="H174" s="1005" t="n"/>
      <c r="I174" s="1005" t="n"/>
      <c r="J174" s="1005" t="n"/>
      <c r="K174" s="1005" t="n"/>
      <c r="L174" s="1005" t="n"/>
      <c r="M174" s="1005" t="n"/>
      <c r="N174" s="1005" t="n"/>
      <c r="O174" s="1005" t="n"/>
      <c r="P174" s="1005" t="n"/>
      <c r="Q174" s="1005" t="n"/>
      <c r="R174" s="1005" t="n"/>
      <c r="S174" s="1005" t="n"/>
      <c r="T174" s="1005" t="n"/>
      <c r="U174" s="1005" t="n"/>
      <c r="V174" s="1005" t="n"/>
      <c r="W174" s="1005" t="n"/>
      <c r="X174" s="1005" t="n"/>
      <c r="Y174" s="1005" t="n"/>
      <c r="Z174" s="1005" t="n"/>
      <c r="AA174" s="1005" t="n"/>
      <c r="AB174" s="1005" t="n"/>
      <c r="AC174" s="1005" t="n"/>
      <c r="AD174" s="1005" t="n"/>
      <c r="AE174" s="1005" t="n"/>
      <c r="AF174" s="1005" t="n"/>
      <c r="AG174" s="1005" t="n"/>
      <c r="AH174" s="1005" t="n"/>
      <c r="AI174" s="1005" t="n"/>
      <c r="AJ174" s="1005" t="n"/>
      <c r="AK174" s="1005" t="n"/>
      <c r="AL174" s="1005" t="n"/>
      <c r="AM174" s="1005" t="n"/>
      <c r="AN174" s="1005" t="n"/>
      <c r="AO174" s="1005" t="n"/>
      <c r="AP174" s="1005" t="n"/>
      <c r="AQ174" s="1005" t="n"/>
      <c r="AR174" s="1005" t="n"/>
      <c r="AS174" s="1005" t="n"/>
      <c r="AT174" s="1005" t="n"/>
      <c r="AU174" s="1005" t="n"/>
      <c r="AV174" s="1005" t="n"/>
      <c r="AW174" s="1005" t="n"/>
      <c r="AX174" s="1005" t="n"/>
      <c r="AY174" s="1005" t="n"/>
      <c r="AZ174" s="1005" t="n"/>
      <c r="BA174" s="1005" t="n"/>
      <c r="BB174" s="1005" t="n"/>
      <c r="BC174" s="1005" t="n"/>
      <c r="BD174" s="1005" t="n"/>
      <c r="BE174" s="1005" t="n"/>
      <c r="BF174" s="1005" t="n"/>
      <c r="BG174" s="1005" t="n"/>
      <c r="BH174" s="1005" t="n"/>
      <c r="BI174" s="1005" t="n"/>
      <c r="BJ174" s="1005" t="n"/>
      <c r="BK174" s="1005" t="n"/>
      <c r="BL174" s="1005" t="n"/>
      <c r="BM174" s="1005" t="n"/>
      <c r="BN174" s="1005" t="n"/>
      <c r="BO174" s="1005" t="n"/>
      <c r="BP174" s="1005" t="n"/>
      <c r="BQ174" s="1005" t="n"/>
      <c r="BR174" s="1005" t="n"/>
      <c r="BS174" s="1005" t="n"/>
      <c r="BT174" s="1005" t="n"/>
      <c r="BU174" s="1005" t="n"/>
      <c r="BV174" s="1005" t="n"/>
      <c r="BW174" s="1005" t="n"/>
      <c r="BX174" s="1005" t="n"/>
      <c r="BY174" s="1005" t="n"/>
      <c r="BZ174" s="1005" t="n"/>
      <c r="CA174" s="1005" t="n"/>
      <c r="CB174" s="1005" t="n"/>
      <c r="CC174" s="1005" t="n"/>
      <c r="CD174" s="1005" t="n"/>
      <c r="CE174" s="1005" t="n"/>
      <c r="CF174" s="1005" t="n"/>
      <c r="CG174" s="1005" t="n"/>
      <c r="CH174" s="1005" t="n"/>
      <c r="CI174" s="1005" t="n"/>
      <c r="CJ174" s="1005" t="n"/>
      <c r="CK174" s="1005" t="n"/>
      <c r="CL174" s="1005" t="n"/>
      <c r="CM174" s="1005" t="n"/>
      <c r="CN174" s="1005" t="n"/>
      <c r="CO174" s="1005" t="n"/>
      <c r="CP174" s="1005" t="n"/>
      <c r="CQ174" s="1005" t="n"/>
      <c r="CR174" s="1005" t="n"/>
      <c r="CS174" s="1005" t="n"/>
      <c r="CT174" s="1005" t="n"/>
      <c r="CU174" s="1005" t="n"/>
      <c r="CV174" s="1005" t="n"/>
      <c r="CW174" s="1005" t="n"/>
      <c r="CX174" s="1006" t="n"/>
      <c r="CY174" s="993" t="n"/>
    </row>
  </sheetData>
  <mergeCells count="358">
    <mergeCell ref="AG108:AI108"/>
    <mergeCell ref="AG95:AI95"/>
    <mergeCell ref="AG135:AI135"/>
    <mergeCell ref="AG97:AI97"/>
    <mergeCell ref="AN106:CS106"/>
    <mergeCell ref="BW3:CB3"/>
    <mergeCell ref="AN93:CS93"/>
    <mergeCell ref="AT3:BV3"/>
    <mergeCell ref="U142:AF142"/>
    <mergeCell ref="U58:AF58"/>
    <mergeCell ref="E21:T21"/>
    <mergeCell ref="AJ106:AM106"/>
    <mergeCell ref="AG24:AI24"/>
    <mergeCell ref="E67:T67"/>
    <mergeCell ref="AN101:CS101"/>
    <mergeCell ref="AJ99:AM99"/>
    <mergeCell ref="AJ135:AM135"/>
    <mergeCell ref="AG26:AI26"/>
    <mergeCell ref="U137:AF137"/>
    <mergeCell ref="AN92:CS92"/>
    <mergeCell ref="AJ101:AM101"/>
    <mergeCell ref="AJ136:AM136"/>
    <mergeCell ref="AN54:CS54"/>
    <mergeCell ref="E110:T110"/>
    <mergeCell ref="AG52:AI52"/>
    <mergeCell ref="AJ104:AM104"/>
    <mergeCell ref="AN56:CS56"/>
    <mergeCell ref="E16:T16"/>
    <mergeCell ref="AN105:CS105"/>
    <mergeCell ref="AJ54:AM54"/>
    <mergeCell ref="U21:AF21"/>
    <mergeCell ref="AG103:AI103"/>
    <mergeCell ref="E18:T18"/>
    <mergeCell ref="AN107:CS107"/>
    <mergeCell ref="AJ56:AM56"/>
    <mergeCell ref="AJ105:AM105"/>
    <mergeCell ref="B3:N3"/>
    <mergeCell ref="AJ110:AM110"/>
    <mergeCell ref="E92:T92"/>
    <mergeCell ref="E94:T94"/>
    <mergeCell ref="AG63:AI63"/>
    <mergeCell ref="AG50:AI50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U92:AF92"/>
    <mergeCell ref="E24:T24"/>
    <mergeCell ref="AN57:CS57"/>
    <mergeCell ref="E17:T17"/>
    <mergeCell ref="U23:AF23"/>
    <mergeCell ref="U94:AF94"/>
    <mergeCell ref="CO4:CX4"/>
    <mergeCell ref="AG55:AI55"/>
    <mergeCell ref="AG109:AI109"/>
    <mergeCell ref="E19:T19"/>
    <mergeCell ref="AJ57:AM57"/>
    <mergeCell ref="U105:AF105"/>
    <mergeCell ref="AG148:AI148"/>
    <mergeCell ref="U107:AF107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97:AF97"/>
    <mergeCell ref="AJ63:AM6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J55:AM55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55:AF55"/>
    <mergeCell ref="E55:T55"/>
    <mergeCell ref="AJ58:AM58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J66:AM66"/>
    <mergeCell ref="AJ137:AM137"/>
    <mergeCell ref="AJ102:AM102"/>
    <mergeCell ref="CC3:CJ3"/>
    <mergeCell ref="AG65:AI65"/>
    <mergeCell ref="AJ97:AM97"/>
    <mergeCell ref="AG17:AI17"/>
    <mergeCell ref="U66:AF66"/>
    <mergeCell ref="E54:T54"/>
    <mergeCell ref="AN21:CS21"/>
    <mergeCell ref="U53:AF53"/>
    <mergeCell ref="E112:T112"/>
    <mergeCell ref="AG19:AI19"/>
    <mergeCell ref="AG141:AI141"/>
    <mergeCell ref="E56:T56"/>
    <mergeCell ref="AN23:CS23"/>
    <mergeCell ref="AJ94:AM94"/>
    <mergeCell ref="AN145:CS145"/>
    <mergeCell ref="AJ21:AM21"/>
    <mergeCell ref="AN147:CS147"/>
    <mergeCell ref="AI4:AS4"/>
    <mergeCell ref="AJ23:AM23"/>
    <mergeCell ref="E138:T138"/>
    <mergeCell ref="U144:AF144"/>
    <mergeCell ref="AN99:CS99"/>
    <mergeCell ref="AJ18:AM18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J103:AM103"/>
    <mergeCell ref="U56:AF56"/>
    <mergeCell ref="B4:N4"/>
    <mergeCell ref="E62:T62"/>
    <mergeCell ref="CC4:CJ4"/>
    <mergeCell ref="U67:AF67"/>
    <mergeCell ref="U138:AF138"/>
    <mergeCell ref="E64:T64"/>
    <mergeCell ref="E51:T51"/>
    <mergeCell ref="AG20:AI20"/>
    <mergeCell ref="AN97:CS97"/>
    <mergeCell ref="AN24:CS24"/>
    <mergeCell ref="AG22:AI22"/>
    <mergeCell ref="E65:T65"/>
    <mergeCell ref="AN26:CS26"/>
    <mergeCell ref="AJ24:AM24"/>
    <mergeCell ref="AJ26:AM26"/>
    <mergeCell ref="U147:AF147"/>
    <mergeCell ref="AN102:CS102"/>
    <mergeCell ref="U24:AF24"/>
    <mergeCell ref="U18:AF18"/>
    <mergeCell ref="CK4:CN4"/>
    <mergeCell ref="AN141:CS141"/>
    <mergeCell ref="U51:AF51"/>
    <mergeCell ref="AG104:AI104"/>
    <mergeCell ref="AJ144:AM144"/>
    <mergeCell ref="AN143:CS143"/>
    <mergeCell ref="AG99:AI99"/>
    <mergeCell ref="H2:N2"/>
    <mergeCell ref="U140:AF140"/>
    <mergeCell ref="AG59:AI59"/>
    <mergeCell ref="AN134:CS134"/>
    <mergeCell ref="AJ95:AM95"/>
    <mergeCell ref="AN109:CS109"/>
    <mergeCell ref="U141:AF141"/>
    <mergeCell ref="U135:AF135"/>
    <mergeCell ref="AN96:CS96"/>
    <mergeCell ref="E25:T25"/>
    <mergeCell ref="AG101:AI101"/>
    <mergeCell ref="AJ134:AM134"/>
    <mergeCell ref="U143:AF143"/>
    <mergeCell ref="AN27:CS27"/>
    <mergeCell ref="AJ109:AM109"/>
    <mergeCell ref="AN98:CS98"/>
    <mergeCell ref="AJ96:AM96"/>
    <mergeCell ref="AJ139:AM139"/>
    <mergeCell ref="AJ138:AM138"/>
    <mergeCell ref="AJ27:AM27"/>
    <mergeCell ref="AG102:AI102"/>
    <mergeCell ref="AG23:AI23"/>
    <mergeCell ref="E20:T20"/>
    <mergeCell ref="U26:AF26"/>
    <mergeCell ref="AG54:AI54"/>
    <mergeCell ref="U65:AF65"/>
    <mergeCell ref="AG56:AI56"/>
    <mergeCell ref="U27:AF27"/>
    <mergeCell ref="AG105:AI105"/>
    <mergeCell ref="E15:T15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G57:AI57"/>
    <mergeCell ref="U106:AF106"/>
    <mergeCell ref="AN61:CS61"/>
    <mergeCell ref="U93:AF93"/>
    <mergeCell ref="AG146:AI146"/>
    <mergeCell ref="AJ59:AM59"/>
    <mergeCell ref="E23:T23"/>
    <mergeCell ref="AJ61:AM61"/>
    <mergeCell ref="AG58:AI58"/>
    <mergeCell ref="AG110:AI110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E100:T100"/>
    <mergeCell ref="AJ16:AM16"/>
    <mergeCell ref="E136:T136"/>
    <mergeCell ref="AG134:AI134"/>
    <mergeCell ref="E102:T102"/>
    <mergeCell ref="AN67:CS67"/>
    <mergeCell ref="AG98:AI98"/>
    <mergeCell ref="AT4:BV4"/>
    <mergeCell ref="AJ67:AM67"/>
    <mergeCell ref="AG25:AI25"/>
    <mergeCell ref="U99:AF99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G15:AI15"/>
    <mergeCell ref="U64:AF64"/>
    <mergeCell ref="AG142:AI142"/>
    <mergeCell ref="E52:T52"/>
    <mergeCell ref="AN19:CS19"/>
    <mergeCell ref="AN146:CS146"/>
    <mergeCell ref="AJ17:AM17"/>
    <mergeCell ref="AG144:AI144"/>
    <mergeCell ref="E103:T103"/>
    <mergeCell ref="AJ19:AM19"/>
    <mergeCell ref="AJ146:AM146"/>
    <mergeCell ref="AN108:CS108"/>
    <mergeCell ref="AN95:CS95"/>
    <mergeCell ref="AG139:AI139"/>
    <mergeCell ref="U17:AF17"/>
    <mergeCell ref="AJ108:AM108"/>
    <mergeCell ref="U57:AF57"/>
    <mergeCell ref="E57:T57"/>
    <mergeCell ref="U100:AF100"/>
    <mergeCell ref="E134:T134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E60:T60"/>
    <mergeCell ref="U136:AF136"/>
    <mergeCell ref="AN20:CS20"/>
    <mergeCell ref="AG145:AI145"/>
    <mergeCell ref="AN22:CS22"/>
    <mergeCell ref="AJ20:AM20"/>
    <mergeCell ref="AJ25:AM25"/>
    <mergeCell ref="AG16:AI16"/>
    <mergeCell ref="AB2:CJ2"/>
    <mergeCell ref="AJ112:AM112"/>
    <mergeCell ref="AG147:AI147"/>
    <mergeCell ref="AJ60:AM60"/>
    <mergeCell ref="AJ22:AM22"/>
    <mergeCell ref="U146:AF146"/>
    <mergeCell ref="AG18:AI18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4" customWidth="1" style="710" min="2" max="2"/>
    <col width="14" customWidth="1" style="710" min="3" max="3"/>
    <col width="10" customWidth="1" style="710" min="4" max="4"/>
    <col width="18" customWidth="1" style="710" min="5" max="5"/>
    <col width="13" customWidth="1" style="710" min="6" max="6"/>
    <col width="55" customWidth="1" style="710" min="7" max="7"/>
    <col width="11" customWidth="1" style="710" min="8" max="8"/>
    <col width="13" customWidth="1" style="710" min="9" max="9"/>
  </cols>
  <sheetData>
    <row r="1">
      <c r="A1" s="1063" t="inlineStr">
        <is>
          <t>Sample calculation - DAD Volume Calculation</t>
        </is>
      </c>
    </row>
    <row r="2">
      <c r="A2" s="1064" t="inlineStr">
        <is>
          <t>Run in Oct 2026 with range = 6 months (system master) -&gt; months 202604 to 202609, divisor 6.</t>
        </is>
      </c>
    </row>
    <row r="3">
      <c r="A3" s="1064" t="inlineStr">
        <is>
          <t>Monthly MAD of a part = sum of MAD of all buyer code / PD code / order type (N + S) rows of the part in that month (TB_R_ACTUAL_DEMAND_SUMMARY).</t>
        </is>
      </c>
    </row>
    <row r="5">
      <c r="A5" s="1065" t="inlineStr">
        <is>
          <t>A. Monthly MAD per part (from TB_R_ACTUAL_DEMAND_SUMMARY)</t>
        </is>
      </c>
    </row>
    <row r="6">
      <c r="A6" s="1066" t="inlineStr">
        <is>
          <t>Part No</t>
        </is>
      </c>
      <c r="B6" s="1066" t="inlineStr">
        <is>
          <t>202604</t>
        </is>
      </c>
      <c r="C6" s="1066" t="inlineStr">
        <is>
          <t>202605</t>
        </is>
      </c>
      <c r="D6" s="1066" t="inlineStr">
        <is>
          <t>202606</t>
        </is>
      </c>
      <c r="E6" s="1066" t="inlineStr">
        <is>
          <t>202607</t>
        </is>
      </c>
      <c r="F6" s="1066" t="inlineStr">
        <is>
          <t>202608</t>
        </is>
      </c>
      <c r="G6" s="1066" t="inlineStr">
        <is>
          <t>202609</t>
        </is>
      </c>
      <c r="H6" s="1066" t="inlineStr">
        <is>
          <t>Total</t>
        </is>
      </c>
      <c r="I6" s="1066" t="inlineStr">
        <is>
          <t>Average (/6)</t>
        </is>
      </c>
    </row>
    <row r="7">
      <c r="A7" s="1067" t="inlineStr">
        <is>
          <t>52119BZV60</t>
        </is>
      </c>
      <c r="B7" s="1068" t="n">
        <v>498.67</v>
      </c>
      <c r="C7" s="1068" t="n">
        <v>473.83</v>
      </c>
      <c r="D7" s="1068" t="n">
        <v>498.32</v>
      </c>
      <c r="E7" s="1068" t="n">
        <v>521.17</v>
      </c>
      <c r="F7" s="1068" t="n">
        <v>572.16</v>
      </c>
      <c r="G7" s="1068" t="n">
        <v>526.34</v>
      </c>
      <c r="H7" s="1068" t="n">
        <v>3090.49</v>
      </c>
      <c r="I7" s="1068" t="n">
        <v>515.08</v>
      </c>
    </row>
    <row r="8">
      <c r="A8" s="1067" t="inlineStr">
        <is>
          <t>PART-B</t>
        </is>
      </c>
      <c r="B8" s="1068" t="n">
        <v>600</v>
      </c>
      <c r="C8" s="1068" t="n">
        <v>600</v>
      </c>
      <c r="D8" s="1068" t="n">
        <v>0</v>
      </c>
      <c r="E8" s="1068" t="n">
        <v>600</v>
      </c>
      <c r="F8" s="1068" t="n">
        <v>0</v>
      </c>
      <c r="G8" s="1068" t="n">
        <v>600</v>
      </c>
      <c r="H8" s="1068" t="n">
        <v>2400</v>
      </c>
      <c r="I8" s="1068" t="n">
        <v>400</v>
      </c>
    </row>
    <row r="9">
      <c r="A9" s="1067" t="inlineStr">
        <is>
          <t>PART-C</t>
        </is>
      </c>
      <c r="B9" s="1068" t="n">
        <v>0</v>
      </c>
      <c r="C9" s="1068" t="n">
        <v>0</v>
      </c>
      <c r="D9" s="1068" t="n">
        <v>0</v>
      </c>
      <c r="E9" s="1068" t="n">
        <v>0</v>
      </c>
      <c r="F9" s="1068" t="n">
        <v>0</v>
      </c>
      <c r="G9" s="1068" t="n">
        <v>0</v>
      </c>
      <c r="H9" s="1068" t="n">
        <v>0</v>
      </c>
      <c r="I9" s="1068" t="n">
        <v>0</v>
      </c>
    </row>
    <row r="11">
      <c r="A11" s="1065" t="inlineStr">
        <is>
          <t>B. Scenarios</t>
        </is>
      </c>
    </row>
    <row r="12">
      <c r="A12" s="1066" t="inlineStr">
        <is>
          <t>No</t>
        </is>
      </c>
      <c r="B12" s="1066" t="inlineStr">
        <is>
          <t>Part No</t>
        </is>
      </c>
      <c r="C12" s="1066" t="inlineStr">
        <is>
          <t>Status before</t>
        </is>
      </c>
      <c r="D12" s="1066" t="inlineStr">
        <is>
          <t>Min MAD</t>
        </is>
      </c>
      <c r="E12" s="1066" t="inlineStr">
        <is>
          <t>Effective Start Date</t>
        </is>
      </c>
      <c r="F12" s="1066" t="inlineStr">
        <is>
          <t>Average MAD</t>
        </is>
      </c>
      <c r="G12" s="1066" t="inlineStr">
        <is>
          <t>Result</t>
        </is>
      </c>
    </row>
    <row r="13">
      <c r="A13" s="1067" t="inlineStr">
        <is>
          <t>N1</t>
        </is>
      </c>
      <c r="B13" s="1067" t="inlineStr">
        <is>
          <t>52119BZV60</t>
        </is>
      </c>
      <c r="C13" s="1067" t="inlineStr">
        <is>
          <t>Candidate</t>
        </is>
      </c>
      <c r="D13" s="1068" t="n">
        <v>500</v>
      </c>
      <c r="E13" s="1067" t="inlineStr">
        <is>
          <t>01-Apr-2026</t>
        </is>
      </c>
      <c r="F13" s="1068" t="n">
        <v>515.08</v>
      </c>
      <c r="G13" s="1067" t="inlineStr">
        <is>
          <t>515.08 &gt;= 500 -&gt; Active. History CALC/BATCH. Sync Status not changed.</t>
        </is>
      </c>
    </row>
    <row r="14">
      <c r="A14" s="1067" t="inlineStr">
        <is>
          <t>N2</t>
        </is>
      </c>
      <c r="B14" s="1067" t="inlineStr">
        <is>
          <t>52119BZV60</t>
        </is>
      </c>
      <c r="C14" s="1067" t="inlineStr">
        <is>
          <t>Active</t>
        </is>
      </c>
      <c r="D14" s="1068" t="n">
        <v>600</v>
      </c>
      <c r="E14" s="1067" t="inlineStr">
        <is>
          <t>01-Apr-2026</t>
        </is>
      </c>
      <c r="F14" s="1068" t="n">
        <v>515.08</v>
      </c>
      <c r="G14" s="1067" t="inlineStr">
        <is>
          <t>515.08 &lt; 600 -&gt; Inactive.</t>
        </is>
      </c>
    </row>
    <row r="15">
      <c r="A15" s="1067" t="inlineStr">
        <is>
          <t>N3</t>
        </is>
      </c>
      <c r="B15" s="1067" t="inlineStr">
        <is>
          <t>52119BZV60</t>
        </is>
      </c>
      <c r="C15" s="1067" t="inlineStr">
        <is>
          <t>Inactive</t>
        </is>
      </c>
      <c r="D15" s="1068" t="n">
        <v>515</v>
      </c>
      <c r="E15" s="1067" t="inlineStr">
        <is>
          <t>01-Apr-2026</t>
        </is>
      </c>
      <c r="F15" s="1068" t="n">
        <v>515.08</v>
      </c>
      <c r="G15" s="1067" t="inlineStr">
        <is>
          <t>515.08 &gt;= 515 -&gt; Active.</t>
        </is>
      </c>
    </row>
    <row r="16">
      <c r="A16" s="1067" t="inlineStr">
        <is>
          <t>N4</t>
        </is>
      </c>
      <c r="B16" s="1067" t="inlineStr">
        <is>
          <t>52119BZV60</t>
        </is>
      </c>
      <c r="C16" s="1067" t="inlineStr">
        <is>
          <t>Active</t>
        </is>
      </c>
      <c r="D16" s="1068" t="n">
        <v>500</v>
      </c>
      <c r="E16" s="1067" t="inlineStr">
        <is>
          <t>01-Apr-2026</t>
        </is>
      </c>
      <c r="F16" s="1068" t="n">
        <v>515.08</v>
      </c>
      <c r="G16" s="1067" t="inlineStr">
        <is>
          <t>Already Active: status not changed; result record still inserted, no history.</t>
        </is>
      </c>
    </row>
    <row r="17">
      <c r="A17" s="1067" t="inlineStr">
        <is>
          <t>N5</t>
        </is>
      </c>
      <c r="B17" s="1067" t="inlineStr">
        <is>
          <t>PART-B</t>
        </is>
      </c>
      <c r="C17" s="1067" t="inlineStr">
        <is>
          <t>Active</t>
        </is>
      </c>
      <c r="D17" s="1068" t="n">
        <v>500</v>
      </c>
      <c r="E17" s="1067" t="inlineStr">
        <is>
          <t>01-Jan-2026</t>
        </is>
      </c>
      <c r="F17" s="1068" t="n">
        <v>400</v>
      </c>
      <c r="G17" s="1067" t="inlineStr">
        <is>
          <t>Missing months count as 0 (divisor stays 6): 400 &lt; 500 -&gt; Inactive.</t>
        </is>
      </c>
    </row>
    <row r="18">
      <c r="A18" s="1067" t="inlineStr">
        <is>
          <t>N6</t>
        </is>
      </c>
      <c r="B18" s="1067" t="inlineStr">
        <is>
          <t>PART-C</t>
        </is>
      </c>
      <c r="C18" s="1067" t="inlineStr">
        <is>
          <t>Candidate</t>
        </is>
      </c>
      <c r="D18" s="1068" t="n">
        <v>0</v>
      </c>
      <c r="E18" s="1067" t="inlineStr">
        <is>
          <t>01-Jan-2026</t>
        </is>
      </c>
      <c r="F18" s="1068" t="n">
        <v>0</v>
      </c>
      <c r="G18" s="1067" t="inlineStr">
        <is>
          <t>No demand: average 0 &gt;= Min MAD 0 -&gt; Active.</t>
        </is>
      </c>
    </row>
    <row r="19">
      <c r="A19" s="1067" t="inlineStr">
        <is>
          <t>N7</t>
        </is>
      </c>
      <c r="B19" s="1067" t="inlineStr">
        <is>
          <t>PART-D</t>
        </is>
      </c>
      <c r="C19" s="1067" t="inlineStr">
        <is>
          <t>Candidate</t>
        </is>
      </c>
      <c r="D19" s="1068" t="n">
        <v>300</v>
      </c>
      <c r="E19" s="1067" t="inlineStr">
        <is>
          <t>01-Nov-2026</t>
        </is>
      </c>
      <c r="F19" s="1067" t="n"/>
      <c r="G19" s="1067" t="inlineStr">
        <is>
          <t>Effective Start Date after the run date: not calculated, no result record.</t>
        </is>
      </c>
    </row>
    <row r="20">
      <c r="A20" s="1067" t="inlineStr">
        <is>
          <t>N8</t>
        </is>
      </c>
      <c r="B20" s="1067" t="inlineStr">
        <is>
          <t>PART-E</t>
        </is>
      </c>
      <c r="C20" s="1067" t="inlineStr">
        <is>
          <t>Inactive</t>
        </is>
      </c>
      <c r="D20" s="1068" t="n">
        <v>300</v>
      </c>
      <c r="E20" s="1067" t="inlineStr">
        <is>
          <t>01-Jan-2026</t>
        </is>
      </c>
      <c r="F20" s="1067" t="n"/>
      <c r="G20" s="1067" t="inlineStr">
        <is>
          <t>Status was set to Inactive manually last week: the batch may overwrite it with the calculated status.</t>
        </is>
      </c>
    </row>
    <row r="21">
      <c r="A21" s="1067" t="inlineStr">
        <is>
          <t>E1</t>
        </is>
      </c>
      <c r="B21" s="1067" t="inlineStr">
        <is>
          <t>(all)</t>
        </is>
      </c>
      <c r="C21" s="1067" t="n"/>
      <c r="D21" s="1067" t="n"/>
      <c r="E21" s="1067" t="n"/>
      <c r="F21" s="1067" t="n"/>
      <c r="G21" s="1067" t="inlineStr">
        <is>
          <t>Database error while updating one part: whole run rolled back, Log FAILED, auto retry (max 3).</t>
        </is>
      </c>
    </row>
    <row r="22">
      <c r="A22" s="1067" t="inlineStr">
        <is>
          <t>E2</t>
        </is>
      </c>
      <c r="B22" s="1067" t="inlineStr">
        <is>
          <t>(all)</t>
        </is>
      </c>
      <c r="C22" s="1067" t="n"/>
      <c r="D22" s="1067" t="n"/>
      <c r="E22" s="1067" t="n"/>
      <c r="F22" s="1067" t="n"/>
      <c r="G22" s="1067" t="inlineStr">
        <is>
          <t>Scheduled run and 3 retries failed: [Run calculation] enabled in Part List;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2026-10-14T02:56:12Z</dcterms:modified>
  <cp:lastModifiedBy>anan</cp:lastModifiedBy>
  <cp:revision>0</cp:revision>
  <cp:lastPrinted>2009-01-19T06:29:27Z</cp:lastPrinted>
</cp:coreProperties>
</file>