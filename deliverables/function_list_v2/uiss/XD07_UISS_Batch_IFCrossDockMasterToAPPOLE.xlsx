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7" applyAlignment="1" pivotButton="0" quotePrefix="0" xfId="0">
      <alignment horizontal="left" vertical="center" shrinkToFi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46720</xdr:colOff>
      <xdr:row>29</xdr:row>
      <xdr:rowOff>67737</xdr:rowOff>
    </xdr:from>
    <xdr:to>
      <xdr:col>17</xdr:col>
      <xdr:colOff>56245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18345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33</xdr:row>
      <xdr:rowOff>107338</xdr:rowOff>
    </xdr:from>
    <xdr:to>
      <xdr:col>17</xdr:col>
      <xdr:colOff>56245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18345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38</xdr:row>
      <xdr:rowOff>6034</xdr:rowOff>
    </xdr:from>
    <xdr:to>
      <xdr:col>17</xdr:col>
      <xdr:colOff>56245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618345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88130</xdr:colOff>
      <xdr:row>42</xdr:row>
      <xdr:rowOff>45634</xdr:rowOff>
    </xdr:from>
    <xdr:to>
      <xdr:col>17</xdr:col>
      <xdr:colOff>46720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97755" y="5926369"/>
          <a:ext cx="720590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42</xdr:row>
      <xdr:rowOff>45634</xdr:rowOff>
    </xdr:from>
    <xdr:to>
      <xdr:col>25</xdr:col>
      <xdr:colOff>5395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18345" y="5926369"/>
          <a:ext cx="72067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28229</xdr:colOff>
      <xdr:row>27</xdr:row>
      <xdr:rowOff>25400</xdr:rowOff>
    </xdr:from>
    <xdr:to>
      <xdr:col>23</xdr:col>
      <xdr:colOff>65211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28354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526</xdr:colOff>
      <xdr:row>31</xdr:row>
      <xdr:rowOff>65000</xdr:rowOff>
    </xdr:from>
    <xdr:to>
      <xdr:col>22</xdr:col>
      <xdr:colOff>92914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95901" y="4395065"/>
          <a:ext cx="104488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12</xdr:col>
      <xdr:colOff>54583</xdr:colOff>
      <xdr:row>35</xdr:row>
      <xdr:rowOff>104666</xdr:rowOff>
    </xdr:from>
    <xdr:to>
      <xdr:col>22</xdr:col>
      <xdr:colOff>38857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149958" y="4998611"/>
          <a:ext cx="936773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5692</xdr:colOff>
      <xdr:row>40</xdr:row>
      <xdr:rowOff>3297</xdr:rowOff>
    </xdr:from>
    <xdr:to>
      <xdr:col>23</xdr:col>
      <xdr:colOff>87748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1005817" y="5602092"/>
          <a:ext cx="122505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38087</xdr:colOff>
      <xdr:row>44</xdr:row>
      <xdr:rowOff>124032</xdr:rowOff>
    </xdr:from>
    <xdr:to>
      <xdr:col>16</xdr:col>
      <xdr:colOff>42923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2" y="6286707"/>
          <a:ext cx="124308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18</xdr:col>
      <xdr:colOff>82154</xdr:colOff>
      <xdr:row>44</xdr:row>
      <xdr:rowOff>124032</xdr:rowOff>
    </xdr:from>
    <xdr:to>
      <xdr:col>31</xdr:col>
      <xdr:colOff>23886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749029" y="6286707"/>
          <a:ext cx="117998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82300</xdr:colOff>
      <xdr:row>42</xdr:row>
      <xdr:rowOff>94419</xdr:rowOff>
    </xdr:from>
    <xdr:to>
      <xdr:col>12</xdr:col>
      <xdr:colOff>38104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891925" y="5975154"/>
          <a:ext cx="241554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sent with CROSSDOCK_FLAG 'N' (one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record, no destination): AP POLE deletes the part at part level in Cross Dock Kanban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Master (same as [Delete] on AP POLE screen WLM9Q890) (decided 30-Oct). Source: Part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List (TB_M_PART_CANDIDATE) and Part Mapping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(TB_M_PART_CANDIDATE_DEST).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Interface method: interface file by SFTP, Option #3 of 'NSP Cross Dock Interfacing Data':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NSP Send IF -&gt; TMMIN SFTP -&gt; TMA SFTP -&gt; receive IF (TMA) -&gt; AP POLE master. SFTP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details, file format and the AP POLE tables are not detailed in this document.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 part is sent as one complete set; AP POLE replaces the data of the part, so a change such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as Philippines up and Thailand down, or a removed destination, arrives as one consistent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update.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The send status per part is kept in TB_R_CROSSDOCK_IF_RESULT (dummy table);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together with XD06 (GTOPAS) it gives the overall Sync Status shown on the Cross Dock Part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Master screen 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TMA; the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part is deleted when CROSSDOCK_FLAG 'N' (not in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inlineStr">
        <is>
          <t>NSP 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0" t="inlineStr">
        <is>
          <t>No</t>
        </is>
      </c>
      <c r="BD50" s="1001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1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1" t="inlineStr">
        <is>
          <t>Format</t>
        </is>
      </c>
      <c r="BZ50" s="985" t="n"/>
      <c r="CA50" s="985" t="n"/>
      <c r="CB50" s="985" t="n"/>
      <c r="CC50" s="985" t="n"/>
      <c r="CD50" s="986" t="n"/>
      <c r="CE50" s="1000" t="inlineStr">
        <is>
          <t>M</t>
        </is>
      </c>
      <c r="CF50" s="1001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2" t="n">
        <v>1</v>
      </c>
      <c r="E52" s="1003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3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3" t="inlineStr">
        <is>
          <t>CHAR(14)</t>
        </is>
      </c>
      <c r="AA52" s="957" t="n"/>
      <c r="AB52" s="957" t="n"/>
      <c r="AC52" s="957" t="n"/>
      <c r="AD52" s="957" t="n"/>
      <c r="AE52" s="955" t="n"/>
      <c r="AF52" s="1004" t="inlineStr">
        <is>
          <t>Y</t>
        </is>
      </c>
      <c r="AG52" s="1003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1002" t="n">
        <v>8</v>
      </c>
      <c r="BD52" s="1003" t="inlineStr">
        <is>
          <t>DEST_CODE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3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3" t="inlineStr">
        <is>
          <t>CHAR(7)</t>
        </is>
      </c>
      <c r="BZ52" s="957" t="n"/>
      <c r="CA52" s="957" t="n"/>
      <c r="CB52" s="957" t="n"/>
      <c r="CC52" s="957" t="n"/>
      <c r="CD52" s="955" t="n"/>
      <c r="CE52" s="1004" t="inlineStr">
        <is>
          <t>Y</t>
        </is>
      </c>
      <c r="CF52" s="1003" t="inlineStr">
        <is>
          <t>Destination code (buyer code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5" t="n"/>
      <c r="E53" s="1006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6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6" t="n"/>
      <c r="AA53" s="962" t="n"/>
      <c r="AB53" s="962" t="n"/>
      <c r="AC53" s="962" t="n"/>
      <c r="AD53" s="962" t="n"/>
      <c r="AE53" s="960" t="n"/>
      <c r="AF53" s="1007" t="n"/>
      <c r="AG53" s="1006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5" t="n"/>
      <c r="BD53" s="1006" t="n"/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6" t="inlineStr">
        <is>
          <t>CANDIDATE_DEST.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6" t="n"/>
      <c r="BZ53" s="962" t="n"/>
      <c r="CA53" s="962" t="n"/>
      <c r="CB53" s="962" t="n"/>
      <c r="CC53" s="962" t="n"/>
      <c r="CD53" s="960" t="n"/>
      <c r="CE53" s="1007" t="n"/>
      <c r="CF53" s="1006" t="inlineStr">
        <is>
          <t>+ PD code,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5" t="n"/>
      <c r="BD54" s="1006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6" t="inlineStr">
        <is>
          <t>DEST_CODE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6" t="n"/>
      <c r="BZ54" s="962" t="n"/>
      <c r="CA54" s="962" t="n"/>
      <c r="CB54" s="962" t="n"/>
      <c r="CC54" s="962" t="n"/>
      <c r="CD54" s="960" t="n"/>
      <c r="CE54" s="1007" t="n"/>
      <c r="CF54" s="1006" t="inlineStr">
        <is>
          <t>TB_M_H0125_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5" t="n"/>
      <c r="BD55" s="1006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6" t="n"/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6" t="n"/>
      <c r="BZ55" s="962" t="n"/>
      <c r="CA55" s="962" t="n"/>
      <c r="CB55" s="962" t="n"/>
      <c r="CC55" s="962" t="n"/>
      <c r="CD55" s="960" t="n"/>
      <c r="CE55" s="1007" t="n"/>
      <c r="CF55" s="1006" t="inlineStr">
        <is>
          <t>DESTINATION); one record</t>
        </is>
      </c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5" t="n"/>
      <c r="BD56" s="1006" t="n"/>
      <c r="BE56" s="962" t="n"/>
      <c r="BF56" s="962" t="n"/>
      <c r="BG56" s="962" t="n"/>
      <c r="BH56" s="962" t="n"/>
      <c r="BI56" s="962" t="n"/>
      <c r="BJ56" s="962" t="n"/>
      <c r="BK56" s="962" t="n"/>
      <c r="BL56" s="960" t="n"/>
      <c r="BM56" s="1006" t="n"/>
      <c r="BN56" s="962" t="n"/>
      <c r="BO56" s="962" t="n"/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0" t="n"/>
      <c r="BY56" s="1006" t="n"/>
      <c r="BZ56" s="962" t="n"/>
      <c r="CA56" s="962" t="n"/>
      <c r="CB56" s="962" t="n"/>
      <c r="CC56" s="962" t="n"/>
      <c r="CD56" s="960" t="n"/>
      <c r="CE56" s="1007" t="n"/>
      <c r="CF56" s="1006" t="inlineStr">
        <is>
          <t>per destination</t>
        </is>
      </c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0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2" t="n">
        <v>9</v>
      </c>
      <c r="BD57" s="1003" t="inlineStr">
        <is>
          <t>CASE_DAY</t>
        </is>
      </c>
      <c r="BE57" s="957" t="n"/>
      <c r="BF57" s="957" t="n"/>
      <c r="BG57" s="957" t="n"/>
      <c r="BH57" s="957" t="n"/>
      <c r="BI57" s="957" t="n"/>
      <c r="BJ57" s="957" t="n"/>
      <c r="BK57" s="957" t="n"/>
      <c r="BL57" s="955" t="n"/>
      <c r="BM57" s="1003" t="inlineStr">
        <is>
          <t>TB_M_PART_</t>
        </is>
      </c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5" t="n"/>
      <c r="BY57" s="1003" t="inlineStr">
        <is>
          <t>NUMBER(</t>
        </is>
      </c>
      <c r="BZ57" s="957" t="n"/>
      <c r="CA57" s="957" t="n"/>
      <c r="CB57" s="957" t="n"/>
      <c r="CC57" s="957" t="n"/>
      <c r="CD57" s="955" t="n"/>
      <c r="CE57" s="1004" t="inlineStr">
        <is>
          <t>Y</t>
        </is>
      </c>
      <c r="CF57" s="1003" t="inlineStr">
        <is>
          <t>Cases per day allocated to</t>
        </is>
      </c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7" t="n"/>
      <c r="CT57" s="955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5" t="n"/>
      <c r="BD58" s="1006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6" t="inlineStr">
        <is>
          <t>CANDIDATE_DEST.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6" t="inlineStr">
        <is>
          <t>TBD)</t>
        </is>
      </c>
      <c r="BZ58" s="962" t="n"/>
      <c r="CA58" s="962" t="n"/>
      <c r="CB58" s="962" t="n"/>
      <c r="CC58" s="962" t="n"/>
      <c r="CD58" s="960" t="n"/>
      <c r="CE58" s="1007" t="n"/>
      <c r="CF58" s="1006" t="inlineStr">
        <is>
          <t>the destination (minimum 1;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5" t="n"/>
      <c r="BD59" s="1006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6" t="inlineStr">
        <is>
          <t>CASE_DAY</t>
        </is>
      </c>
      <c r="BN59" s="962" t="n"/>
      <c r="BO59" s="962" t="n"/>
      <c r="BP59" s="962" t="n"/>
      <c r="BQ59" s="962" t="n"/>
      <c r="BR59" s="962" t="n"/>
      <c r="BS59" s="962" t="n"/>
      <c r="BT59" s="962" t="n"/>
      <c r="BU59" s="962" t="n"/>
      <c r="BV59" s="962" t="n"/>
      <c r="BW59" s="962" t="n"/>
      <c r="BX59" s="960" t="n"/>
      <c r="BY59" s="1006" t="n"/>
      <c r="BZ59" s="962" t="n"/>
      <c r="CA59" s="962" t="n"/>
      <c r="CB59" s="962" t="n"/>
      <c r="CC59" s="962" t="n"/>
      <c r="CD59" s="960" t="n"/>
      <c r="CE59" s="1007" t="n"/>
      <c r="CF59" s="1006" t="inlineStr">
        <is>
          <t>sum per part =</t>
        </is>
      </c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0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5" t="n"/>
      <c r="E60" s="1006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6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6" t="n"/>
      <c r="AA60" s="962" t="n"/>
      <c r="AB60" s="962" t="n"/>
      <c r="AC60" s="962" t="n"/>
      <c r="AD60" s="962" t="n"/>
      <c r="AE60" s="960" t="n"/>
      <c r="AF60" s="1007" t="n"/>
      <c r="AG60" s="1006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1005" t="n"/>
      <c r="BD60" s="1006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6" t="n"/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6" t="n"/>
      <c r="BZ60" s="962" t="n"/>
      <c r="CA60" s="962" t="n"/>
      <c r="CB60" s="962" t="n"/>
      <c r="CC60" s="962" t="n"/>
      <c r="CD60" s="960" t="n"/>
      <c r="CE60" s="1007" t="n"/>
      <c r="CF60" s="1006" t="inlineStr">
        <is>
          <t>MAX_CASE_DAY)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2" t="n">
        <v>3</v>
      </c>
      <c r="E61" s="1008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3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3" t="inlineStr">
        <is>
          <t>CHAR(1)</t>
        </is>
      </c>
      <c r="AA61" s="957" t="n"/>
      <c r="AB61" s="957" t="n"/>
      <c r="AC61" s="957" t="n"/>
      <c r="AD61" s="957" t="n"/>
      <c r="AE61" s="955" t="n"/>
      <c r="AF61" s="1004" t="inlineStr">
        <is>
          <t>Y</t>
        </is>
      </c>
      <c r="AG61" s="1003" t="inlineStr">
        <is>
          <t>'Y' = Active / 'N' = Inactive: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1009" t="n">
        <v>10</v>
      </c>
      <c r="BD61" s="1010" t="inlineStr">
        <is>
          <t>SEND_DT</t>
        </is>
      </c>
      <c r="BE61" s="982" t="n"/>
      <c r="BF61" s="982" t="n"/>
      <c r="BG61" s="982" t="n"/>
      <c r="BH61" s="982" t="n"/>
      <c r="BI61" s="982" t="n"/>
      <c r="BJ61" s="982" t="n"/>
      <c r="BK61" s="982" t="n"/>
      <c r="BL61" s="980" t="n"/>
      <c r="BM61" s="1010" t="inlineStr">
        <is>
          <t>Generated</t>
        </is>
      </c>
      <c r="BN61" s="982" t="n"/>
      <c r="BO61" s="982" t="n"/>
      <c r="BP61" s="982" t="n"/>
      <c r="BQ61" s="982" t="n"/>
      <c r="BR61" s="982" t="n"/>
      <c r="BS61" s="982" t="n"/>
      <c r="BT61" s="982" t="n"/>
      <c r="BU61" s="982" t="n"/>
      <c r="BV61" s="982" t="n"/>
      <c r="BW61" s="982" t="n"/>
      <c r="BX61" s="980" t="n"/>
      <c r="BY61" s="1010" t="inlineStr">
        <is>
          <t>DATETIME</t>
        </is>
      </c>
      <c r="BZ61" s="982" t="n"/>
      <c r="CA61" s="982" t="n"/>
      <c r="CB61" s="982" t="n"/>
      <c r="CC61" s="982" t="n"/>
      <c r="CD61" s="980" t="n"/>
      <c r="CE61" s="1011" t="inlineStr">
        <is>
          <t>Y</t>
        </is>
      </c>
      <c r="CF61" s="1010" t="inlineStr">
        <is>
          <t>Date-time the file is created</t>
        </is>
      </c>
      <c r="CG61" s="982" t="n"/>
      <c r="CH61" s="982" t="n"/>
      <c r="CI61" s="982" t="n"/>
      <c r="CJ61" s="982" t="n"/>
      <c r="CK61" s="982" t="n"/>
      <c r="CL61" s="982" t="n"/>
      <c r="CM61" s="982" t="n"/>
      <c r="CN61" s="982" t="n"/>
      <c r="CO61" s="982" t="n"/>
      <c r="CP61" s="982" t="n"/>
      <c r="CQ61" s="982" t="n"/>
      <c r="CR61" s="982" t="n"/>
      <c r="CS61" s="982" t="n"/>
      <c r="CT61" s="98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5" t="n"/>
      <c r="E62" s="1012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inlineStr">
        <is>
          <t>the receive IF deletes the part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5" t="n"/>
      <c r="E63" s="1012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6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6" t="n"/>
      <c r="AA63" s="962" t="n"/>
      <c r="AB63" s="962" t="n"/>
      <c r="AC63" s="962" t="n"/>
      <c r="AD63" s="962" t="n"/>
      <c r="AE63" s="960" t="n"/>
      <c r="AF63" s="1007" t="n"/>
      <c r="AG63" s="1006" t="inlineStr">
        <is>
          <t>in Cross Dock Kanban Part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3" t="inlineStr">
        <is>
          <t>e.</t>
        </is>
      </c>
      <c r="BD63" s="997" t="n"/>
      <c r="BE63" s="1014" t="inlineStr">
        <is>
          <t>Execution Schedule</t>
        </is>
      </c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5" t="n"/>
      <c r="E64" s="1012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Master (same as [Delete] on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1000" t="inlineStr">
        <is>
          <t>No</t>
        </is>
      </c>
      <c r="BD64" s="1001" t="inlineStr">
        <is>
          <t>Item</t>
        </is>
      </c>
      <c r="BE64" s="985" t="n"/>
      <c r="BF64" s="985" t="n"/>
      <c r="BG64" s="985" t="n"/>
      <c r="BH64" s="985" t="n"/>
      <c r="BI64" s="985" t="n"/>
      <c r="BJ64" s="985" t="n"/>
      <c r="BK64" s="985" t="n"/>
      <c r="BL64" s="985" t="n"/>
      <c r="BM64" s="985" t="n"/>
      <c r="BN64" s="986" t="n"/>
      <c r="BO64" s="1001" t="inlineStr">
        <is>
          <t>Description</t>
        </is>
      </c>
      <c r="BP64" s="985" t="n"/>
      <c r="BQ64" s="985" t="n"/>
      <c r="BR64" s="985" t="n"/>
      <c r="BS64" s="985" t="n"/>
      <c r="BT64" s="985" t="n"/>
      <c r="BU64" s="985" t="n"/>
      <c r="BV64" s="985" t="n"/>
      <c r="BW64" s="985" t="n"/>
      <c r="BX64" s="985" t="n"/>
      <c r="BY64" s="985" t="n"/>
      <c r="BZ64" s="985" t="n"/>
      <c r="CA64" s="985" t="n"/>
      <c r="CB64" s="985" t="n"/>
      <c r="CC64" s="985" t="n"/>
      <c r="CD64" s="985" t="n"/>
      <c r="CE64" s="985" t="n"/>
      <c r="CF64" s="985" t="n"/>
      <c r="CG64" s="985" t="n"/>
      <c r="CH64" s="985" t="n"/>
      <c r="CI64" s="985" t="n"/>
      <c r="CJ64" s="985" t="n"/>
      <c r="CK64" s="985" t="n"/>
      <c r="CL64" s="985" t="n"/>
      <c r="CM64" s="985" t="n"/>
      <c r="CN64" s="985" t="n"/>
      <c r="CO64" s="985" t="n"/>
      <c r="CP64" s="985" t="n"/>
      <c r="CQ64" s="985" t="n"/>
      <c r="CR64" s="985" t="n"/>
      <c r="CS64" s="985" t="n"/>
      <c r="CT64" s="985" t="n"/>
      <c r="CU64" s="986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5" t="n"/>
      <c r="E65" s="1012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AP POLE screen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87" t="n"/>
      <c r="BD65" s="988" t="n"/>
      <c r="BE65" s="989" t="n"/>
      <c r="BF65" s="989" t="n"/>
      <c r="BG65" s="989" t="n"/>
      <c r="BH65" s="989" t="n"/>
      <c r="BI65" s="989" t="n"/>
      <c r="BJ65" s="989" t="n"/>
      <c r="BK65" s="989" t="n"/>
      <c r="BL65" s="989" t="n"/>
      <c r="BM65" s="989" t="n"/>
      <c r="BN65" s="990" t="n"/>
      <c r="BO65" s="988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9" t="n"/>
      <c r="CU65" s="990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5" t="n"/>
      <c r="E66" s="1012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WLM9Q890), which has one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1002" t="n">
        <v>1</v>
      </c>
      <c r="BD66" s="1003" t="inlineStr">
        <is>
          <t>Trigger</t>
        </is>
      </c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5" t="n"/>
      <c r="BO66" s="1003" t="inlineStr">
        <is>
          <t>On demand: [Sync] on XD01 (Mapping per Destination tab) starts</t>
        </is>
      </c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7" t="n"/>
      <c r="CT66" s="957" t="n"/>
      <c r="CU66" s="955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5" t="n"/>
      <c r="E67" s="1012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row per part number; only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1005" t="n"/>
      <c r="BD67" s="1006" t="n"/>
      <c r="BE67" s="962" t="n"/>
      <c r="BF67" s="962" t="n"/>
      <c r="BG67" s="962" t="n"/>
      <c r="BH67" s="962" t="n"/>
      <c r="BI67" s="962" t="n"/>
      <c r="BJ67" s="962" t="n"/>
      <c r="BK67" s="962" t="n"/>
      <c r="BL67" s="962" t="n"/>
      <c r="BM67" s="962" t="n"/>
      <c r="BN67" s="960" t="n"/>
      <c r="BO67" s="1006" t="inlineStr">
        <is>
          <t>XD07 and XD06. No scheduler.</t>
        </is>
      </c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2" t="n"/>
      <c r="BY67" s="962" t="n"/>
      <c r="BZ67" s="962" t="n"/>
      <c r="CA67" s="962" t="n"/>
      <c r="CB67" s="962" t="n"/>
      <c r="CC67" s="962" t="n"/>
      <c r="CD67" s="962" t="n"/>
      <c r="CE67" s="962" t="n"/>
      <c r="CF67" s="962" t="n"/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2" t="n"/>
      <c r="CU67" s="960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5" t="n"/>
      <c r="E68" s="1012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PART_NO,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1002" t="n">
        <v>2</v>
      </c>
      <c r="BD68" s="1003" t="inlineStr">
        <is>
          <t>Method</t>
        </is>
      </c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5" t="n"/>
      <c r="BO68" s="1003" t="inlineStr">
        <is>
          <t>interface file by SFTP, Option #3 of 'NSP Cross Dock Interfacing</t>
        </is>
      </c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7" t="n"/>
      <c r="CT68" s="957" t="n"/>
      <c r="CU68" s="955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5" t="n"/>
      <c r="E69" s="1012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6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6" t="n"/>
      <c r="AA69" s="962" t="n"/>
      <c r="AB69" s="962" t="n"/>
      <c r="AC69" s="962" t="n"/>
      <c r="AD69" s="962" t="n"/>
      <c r="AE69" s="960" t="n"/>
      <c r="AF69" s="1007" t="n"/>
      <c r="AG69" s="1006" t="inlineStr">
        <is>
          <t>CROSSDOCK_FLAG,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1005" t="n"/>
      <c r="BD69" s="1006" t="n"/>
      <c r="BE69" s="962" t="n"/>
      <c r="BF69" s="962" t="n"/>
      <c r="BG69" s="962" t="n"/>
      <c r="BH69" s="962" t="n"/>
      <c r="BI69" s="962" t="n"/>
      <c r="BJ69" s="962" t="n"/>
      <c r="BK69" s="962" t="n"/>
      <c r="BL69" s="962" t="n"/>
      <c r="BM69" s="962" t="n"/>
      <c r="BN69" s="960" t="n"/>
      <c r="BO69" s="1006" t="inlineStr">
        <is>
          <t>Data': NSP Send IF -&gt; TMMIN SFTP -&gt; TMA SFTP -&gt; receive IF</t>
        </is>
      </c>
      <c r="BP69" s="962" t="n"/>
      <c r="BQ69" s="962" t="n"/>
      <c r="BR69" s="962" t="n"/>
      <c r="BS69" s="962" t="n"/>
      <c r="BT69" s="962" t="n"/>
      <c r="BU69" s="962" t="n"/>
      <c r="BV69" s="962" t="n"/>
      <c r="BW69" s="962" t="n"/>
      <c r="BX69" s="962" t="n"/>
      <c r="BY69" s="962" t="n"/>
      <c r="BZ69" s="962" t="n"/>
      <c r="CA69" s="962" t="n"/>
      <c r="CB69" s="962" t="n"/>
      <c r="CC69" s="962" t="n"/>
      <c r="CD69" s="962" t="n"/>
      <c r="CE69" s="962" t="n"/>
      <c r="CF69" s="962" t="n"/>
      <c r="CG69" s="962" t="n"/>
      <c r="CH69" s="962" t="n"/>
      <c r="CI69" s="962" t="n"/>
      <c r="CJ69" s="962" t="n"/>
      <c r="CK69" s="962" t="n"/>
      <c r="CL69" s="962" t="n"/>
      <c r="CM69" s="962" t="n"/>
      <c r="CN69" s="962" t="n"/>
      <c r="CO69" s="962" t="n"/>
      <c r="CP69" s="962" t="n"/>
      <c r="CQ69" s="962" t="n"/>
      <c r="CR69" s="962" t="n"/>
      <c r="CS69" s="962" t="n"/>
      <c r="CT69" s="962" t="n"/>
      <c r="CU69" s="960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5" t="n"/>
      <c r="E70" s="1012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6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6" t="n"/>
      <c r="AA70" s="962" t="n"/>
      <c r="AB70" s="962" t="n"/>
      <c r="AC70" s="962" t="n"/>
      <c r="AD70" s="962" t="n"/>
      <c r="AE70" s="960" t="n"/>
      <c r="AF70" s="1007" t="n"/>
      <c r="AG70" s="1006" t="inlineStr">
        <is>
          <t>SEND_ID and SEND_DT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05" t="n"/>
      <c r="BD70" s="1006" t="n"/>
      <c r="BE70" s="962" t="n"/>
      <c r="BF70" s="962" t="n"/>
      <c r="BG70" s="962" t="n"/>
      <c r="BH70" s="962" t="n"/>
      <c r="BI70" s="962" t="n"/>
      <c r="BJ70" s="962" t="n"/>
      <c r="BK70" s="962" t="n"/>
      <c r="BL70" s="962" t="n"/>
      <c r="BM70" s="962" t="n"/>
      <c r="BN70" s="960" t="n"/>
      <c r="BO70" s="1006" t="inlineStr">
        <is>
          <t>(TMA) -&gt; AP POLE master. SFTP details, file format and the AP</t>
        </is>
      </c>
      <c r="BP70" s="962" t="n"/>
      <c r="BQ70" s="962" t="n"/>
      <c r="BR70" s="962" t="n"/>
      <c r="BS70" s="962" t="n"/>
      <c r="BT70" s="962" t="n"/>
      <c r="BU70" s="962" t="n"/>
      <c r="BV70" s="962" t="n"/>
      <c r="BW70" s="962" t="n"/>
      <c r="BX70" s="962" t="n"/>
      <c r="BY70" s="962" t="n"/>
      <c r="BZ70" s="962" t="n"/>
      <c r="CA70" s="962" t="n"/>
      <c r="CB70" s="962" t="n"/>
      <c r="CC70" s="962" t="n"/>
      <c r="CD70" s="962" t="n"/>
      <c r="CE70" s="962" t="n"/>
      <c r="CF70" s="962" t="n"/>
      <c r="CG70" s="962" t="n"/>
      <c r="CH70" s="962" t="n"/>
      <c r="CI70" s="962" t="n"/>
      <c r="CJ70" s="962" t="n"/>
      <c r="CK70" s="962" t="n"/>
      <c r="CL70" s="962" t="n"/>
      <c r="CM70" s="962" t="n"/>
      <c r="CN70" s="962" t="n"/>
      <c r="CO70" s="962" t="n"/>
      <c r="CP70" s="962" t="n"/>
      <c r="CQ70" s="962" t="n"/>
      <c r="CR70" s="962" t="n"/>
      <c r="CS70" s="962" t="n"/>
      <c r="CT70" s="962" t="n"/>
      <c r="CU70" s="960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5" t="n"/>
      <c r="E71" s="1012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6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6" t="n"/>
      <c r="AA71" s="962" t="n"/>
      <c r="AB71" s="962" t="n"/>
      <c r="AC71" s="962" t="n"/>
      <c r="AD71" s="962" t="n"/>
      <c r="AE71" s="960" t="n"/>
      <c r="AF71" s="1007" t="n"/>
      <c r="AG71" s="1006" t="inlineStr">
        <is>
          <t>filled (decided 30-Oct)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5" t="n"/>
      <c r="BD71" s="1006" t="n"/>
      <c r="BE71" s="962" t="n"/>
      <c r="BF71" s="962" t="n"/>
      <c r="BG71" s="962" t="n"/>
      <c r="BH71" s="962" t="n"/>
      <c r="BI71" s="962" t="n"/>
      <c r="BJ71" s="962" t="n"/>
      <c r="BK71" s="962" t="n"/>
      <c r="BL71" s="962" t="n"/>
      <c r="BM71" s="962" t="n"/>
      <c r="BN71" s="960" t="n"/>
      <c r="BO71" s="1006" t="inlineStr">
        <is>
          <t>POLE tables are not detailed in this document.</t>
        </is>
      </c>
      <c r="BP71" s="962" t="n"/>
      <c r="BQ71" s="962" t="n"/>
      <c r="BR71" s="962" t="n"/>
      <c r="BS71" s="962" t="n"/>
      <c r="BT71" s="962" t="n"/>
      <c r="BU71" s="962" t="n"/>
      <c r="BV71" s="962" t="n"/>
      <c r="BW71" s="962" t="n"/>
      <c r="BX71" s="962" t="n"/>
      <c r="BY71" s="962" t="n"/>
      <c r="BZ71" s="962" t="n"/>
      <c r="CA71" s="962" t="n"/>
      <c r="CB71" s="962" t="n"/>
      <c r="CC71" s="962" t="n"/>
      <c r="CD71" s="962" t="n"/>
      <c r="CE71" s="962" t="n"/>
      <c r="CF71" s="962" t="n"/>
      <c r="CG71" s="962" t="n"/>
      <c r="CH71" s="962" t="n"/>
      <c r="CI71" s="962" t="n"/>
      <c r="CJ71" s="962" t="n"/>
      <c r="CK71" s="962" t="n"/>
      <c r="CL71" s="962" t="n"/>
      <c r="CM71" s="962" t="n"/>
      <c r="CN71" s="962" t="n"/>
      <c r="CO71" s="962" t="n"/>
      <c r="CP71" s="962" t="n"/>
      <c r="CQ71" s="962" t="n"/>
      <c r="CR71" s="962" t="n"/>
      <c r="CS71" s="962" t="n"/>
      <c r="CT71" s="962" t="n"/>
      <c r="CU71" s="960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2" t="n">
        <v>4</v>
      </c>
      <c r="E72" s="1003" t="inlineStr">
        <is>
          <t>PCS_CASE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3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3" t="inlineStr">
        <is>
          <t>NUMBER(</t>
        </is>
      </c>
      <c r="AA72" s="957" t="n"/>
      <c r="AB72" s="957" t="n"/>
      <c r="AC72" s="957" t="n"/>
      <c r="AD72" s="957" t="n"/>
      <c r="AE72" s="955" t="n"/>
      <c r="AF72" s="1004" t="inlineStr">
        <is>
          <t>Y</t>
        </is>
      </c>
      <c r="AG72" s="1003" t="inlineStr">
        <is>
          <t>Pieces per crossdock case;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1009" t="n">
        <v>3</v>
      </c>
      <c r="BD72" s="1010" t="inlineStr">
        <is>
          <t>Order</t>
        </is>
      </c>
      <c r="BE72" s="982" t="n"/>
      <c r="BF72" s="982" t="n"/>
      <c r="BG72" s="982" t="n"/>
      <c r="BH72" s="982" t="n"/>
      <c r="BI72" s="982" t="n"/>
      <c r="BJ72" s="982" t="n"/>
      <c r="BK72" s="982" t="n"/>
      <c r="BL72" s="982" t="n"/>
      <c r="BM72" s="982" t="n"/>
      <c r="BN72" s="980" t="n"/>
      <c r="BO72" s="1010" t="inlineStr">
        <is>
          <t>Independent of XD06; both run after [Sync].</t>
        </is>
      </c>
      <c r="BP72" s="982" t="n"/>
      <c r="BQ72" s="982" t="n"/>
      <c r="BR72" s="982" t="n"/>
      <c r="BS72" s="982" t="n"/>
      <c r="BT72" s="982" t="n"/>
      <c r="BU72" s="982" t="n"/>
      <c r="BV72" s="982" t="n"/>
      <c r="BW72" s="982" t="n"/>
      <c r="BX72" s="982" t="n"/>
      <c r="BY72" s="982" t="n"/>
      <c r="BZ72" s="982" t="n"/>
      <c r="CA72" s="982" t="n"/>
      <c r="CB72" s="982" t="n"/>
      <c r="CC72" s="982" t="n"/>
      <c r="CD72" s="982" t="n"/>
      <c r="CE72" s="982" t="n"/>
      <c r="CF72" s="982" t="n"/>
      <c r="CG72" s="982" t="n"/>
      <c r="CH72" s="982" t="n"/>
      <c r="CI72" s="982" t="n"/>
      <c r="CJ72" s="982" t="n"/>
      <c r="CK72" s="982" t="n"/>
      <c r="CL72" s="982" t="n"/>
      <c r="CM72" s="982" t="n"/>
      <c r="CN72" s="982" t="n"/>
      <c r="CO72" s="982" t="n"/>
      <c r="CP72" s="982" t="n"/>
      <c r="CQ72" s="982" t="n"/>
      <c r="CR72" s="982" t="n"/>
      <c r="CS72" s="982" t="n"/>
      <c r="CT72" s="982" t="n"/>
      <c r="CU72" s="980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5" t="n"/>
      <c r="E73" s="1006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6" t="inlineStr">
        <is>
          <t>CANDIDATE.PCS_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6" t="inlineStr">
        <is>
          <t>TBD)</t>
        </is>
      </c>
      <c r="AA73" s="962" t="n"/>
      <c r="AB73" s="962" t="n"/>
      <c r="AC73" s="962" t="n"/>
      <c r="AD73" s="962" t="n"/>
      <c r="AE73" s="960" t="n"/>
      <c r="AF73" s="1007" t="n"/>
      <c r="AG73" s="1006" t="inlineStr">
        <is>
          <t>used to convert pieces to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5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6" t="inlineStr">
        <is>
          <t>CASE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6" t="n"/>
      <c r="AA74" s="962" t="n"/>
      <c r="AB74" s="962" t="n"/>
      <c r="AC74" s="962" t="n"/>
      <c r="AD74" s="962" t="n"/>
      <c r="AE74" s="960" t="n"/>
      <c r="AF74" s="1007" t="n"/>
      <c r="AG74" s="1006" t="inlineStr">
        <is>
          <t>cases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2" t="n">
        <v>5</v>
      </c>
      <c r="E75" s="1008" t="inlineStr">
        <is>
          <t>MAX_CASE_DAY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3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3" t="inlineStr">
        <is>
          <t>NUMBER(</t>
        </is>
      </c>
      <c r="AA75" s="957" t="n"/>
      <c r="AB75" s="957" t="n"/>
      <c r="AC75" s="957" t="n"/>
      <c r="AD75" s="957" t="n"/>
      <c r="AE75" s="955" t="n"/>
      <c r="AF75" s="1004" t="inlineStr">
        <is>
          <t>Y</t>
        </is>
      </c>
      <c r="AG75" s="1003" t="inlineStr">
        <is>
          <t>Maximum cases per day of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5" t="n"/>
      <c r="E76" s="1012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inlineStr">
        <is>
          <t>CANDIDATE.MAX_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6" t="inlineStr">
        <is>
          <t>TBD)</t>
        </is>
      </c>
      <c r="AA76" s="962" t="n"/>
      <c r="AB76" s="962" t="n"/>
      <c r="AC76" s="962" t="n"/>
      <c r="AD76" s="962" t="n"/>
      <c r="AE76" s="960" t="n"/>
      <c r="AF76" s="1007" t="n"/>
      <c r="AG76" s="1006" t="inlineStr">
        <is>
          <t>the part through crossdock (=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5" t="n"/>
      <c r="E77" s="1012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6" t="inlineStr">
        <is>
          <t>CASE_DAY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6" t="n"/>
      <c r="AA77" s="962" t="n"/>
      <c r="AB77" s="962" t="n"/>
      <c r="AC77" s="962" t="n"/>
      <c r="AD77" s="962" t="n"/>
      <c r="AE77" s="960" t="n"/>
      <c r="AF77" s="1007" t="n"/>
      <c r="AG77" s="1006" t="inlineStr">
        <is>
          <t>total Case/Day of its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5" t="n"/>
      <c r="E78" s="1012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6" t="n"/>
      <c r="AA78" s="962" t="n"/>
      <c r="AB78" s="962" t="n"/>
      <c r="AC78" s="962" t="n"/>
      <c r="AD78" s="962" t="n"/>
      <c r="AE78" s="960" t="n"/>
      <c r="AF78" s="1007" t="n"/>
      <c r="AG78" s="1006" t="inlineStr">
        <is>
          <t>destinations)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2" t="n">
        <v>6</v>
      </c>
      <c r="E79" s="1003" t="inlineStr">
        <is>
          <t>EFFECTIVE_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3" t="inlineStr">
        <is>
          <t>TB_M_PART_</t>
        </is>
      </c>
      <c r="O79" s="957" t="n"/>
      <c r="P79" s="957" t="n"/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5" t="n"/>
      <c r="Z79" s="1003" t="inlineStr">
        <is>
          <t>DATE</t>
        </is>
      </c>
      <c r="AA79" s="957" t="n"/>
      <c r="AB79" s="957" t="n"/>
      <c r="AC79" s="957" t="n"/>
      <c r="AD79" s="957" t="n"/>
      <c r="AE79" s="955" t="n"/>
      <c r="AF79" s="1004" t="inlineStr">
        <is>
          <t>Y</t>
        </is>
      </c>
      <c r="AG79" s="1003" t="inlineStr">
        <is>
          <t>Date from which the cross</t>
        </is>
      </c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5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5" t="n"/>
      <c r="E80" s="1006" t="inlineStr">
        <is>
          <t>START_DATE</t>
        </is>
      </c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CANDIDATE.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6" t="inlineStr">
        <is>
          <t>(YYYYMM</t>
        </is>
      </c>
      <c r="AA80" s="962" t="n"/>
      <c r="AB80" s="962" t="n"/>
      <c r="AC80" s="962" t="n"/>
      <c r="AD80" s="962" t="n"/>
      <c r="AE80" s="960" t="n"/>
      <c r="AF80" s="1007" t="n"/>
      <c r="AG80" s="1006" t="inlineStr">
        <is>
          <t>dock setting of the part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5" t="n"/>
      <c r="E81" s="1006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6" t="inlineStr">
        <is>
          <t>EFFECTIVE_START_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6" t="inlineStr">
        <is>
          <t>DD)</t>
        </is>
      </c>
      <c r="AA81" s="962" t="n"/>
      <c r="AB81" s="962" t="n"/>
      <c r="AC81" s="962" t="n"/>
      <c r="AD81" s="962" t="n"/>
      <c r="AE81" s="960" t="n"/>
      <c r="AF81" s="1007" t="n"/>
      <c r="AG81" s="1006" t="inlineStr">
        <is>
          <t>applies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DATE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6" t="n"/>
      <c r="AA82" s="962" t="n"/>
      <c r="AB82" s="962" t="n"/>
      <c r="AC82" s="962" t="n"/>
      <c r="AD82" s="962" t="n"/>
      <c r="AE82" s="960" t="n"/>
      <c r="AF82" s="1007" t="n"/>
      <c r="AG82" s="1006" t="n"/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2" t="n">
        <v>7</v>
      </c>
      <c r="E83" s="1003" t="inlineStr">
        <is>
          <t>PERIOD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5" t="n"/>
      <c r="N83" s="1003" t="inlineStr">
        <is>
          <t>TB_M_PART_</t>
        </is>
      </c>
      <c r="O83" s="957" t="n"/>
      <c r="P83" s="957" t="n"/>
      <c r="Q83" s="957" t="n"/>
      <c r="R83" s="957" t="n"/>
      <c r="S83" s="957" t="n"/>
      <c r="T83" s="957" t="n"/>
      <c r="U83" s="957" t="n"/>
      <c r="V83" s="957" t="n"/>
      <c r="W83" s="957" t="n"/>
      <c r="X83" s="957" t="n"/>
      <c r="Y83" s="955" t="n"/>
      <c r="Z83" s="1003" t="inlineStr">
        <is>
          <t>CHAR(6)</t>
        </is>
      </c>
      <c r="AA83" s="957" t="n"/>
      <c r="AB83" s="957" t="n"/>
      <c r="AC83" s="957" t="n"/>
      <c r="AD83" s="957" t="n"/>
      <c r="AE83" s="955" t="n"/>
      <c r="AF83" s="1004" t="inlineStr">
        <is>
          <t>Y</t>
        </is>
      </c>
      <c r="AG83" s="1003" t="inlineStr">
        <is>
          <t>Calculation period of the</t>
        </is>
      </c>
      <c r="AH83" s="957" t="n"/>
      <c r="AI83" s="957" t="n"/>
      <c r="AJ83" s="957" t="n"/>
      <c r="AK83" s="957" t="n"/>
      <c r="AL83" s="957" t="n"/>
      <c r="AM83" s="957" t="n"/>
      <c r="AN83" s="957" t="n"/>
      <c r="AO83" s="957" t="n"/>
      <c r="AP83" s="957" t="n"/>
      <c r="AQ83" s="957" t="n"/>
      <c r="AR83" s="957" t="n"/>
      <c r="AS83" s="957" t="n"/>
      <c r="AT83" s="957" t="n"/>
      <c r="AU83" s="955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5" t="n"/>
      <c r="E84" s="1006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6" t="inlineStr">
        <is>
          <t>CANDIDATE_DEST.</t>
        </is>
      </c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6" t="n"/>
      <c r="AA84" s="962" t="n"/>
      <c r="AB84" s="962" t="n"/>
      <c r="AC84" s="962" t="n"/>
      <c r="AD84" s="962" t="n"/>
      <c r="AE84" s="960" t="n"/>
      <c r="AF84" s="1007" t="n"/>
      <c r="AG84" s="1006" t="inlineStr">
        <is>
          <t>mapping (ongoing period,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15" t="n"/>
      <c r="E85" s="1016" t="n"/>
      <c r="F85" s="973" t="n"/>
      <c r="G85" s="973" t="n"/>
      <c r="H85" s="973" t="n"/>
      <c r="I85" s="973" t="n"/>
      <c r="J85" s="973" t="n"/>
      <c r="K85" s="973" t="n"/>
      <c r="L85" s="973" t="n"/>
      <c r="M85" s="971" t="n"/>
      <c r="N85" s="1016" t="inlineStr">
        <is>
          <t>PERIOD</t>
        </is>
      </c>
      <c r="O85" s="973" t="n"/>
      <c r="P85" s="973" t="n"/>
      <c r="Q85" s="973" t="n"/>
      <c r="R85" s="973" t="n"/>
      <c r="S85" s="973" t="n"/>
      <c r="T85" s="973" t="n"/>
      <c r="U85" s="973" t="n"/>
      <c r="V85" s="973" t="n"/>
      <c r="W85" s="973" t="n"/>
      <c r="X85" s="973" t="n"/>
      <c r="Y85" s="971" t="n"/>
      <c r="Z85" s="1016" t="n"/>
      <c r="AA85" s="973" t="n"/>
      <c r="AB85" s="973" t="n"/>
      <c r="AC85" s="973" t="n"/>
      <c r="AD85" s="973" t="n"/>
      <c r="AE85" s="971" t="n"/>
      <c r="AF85" s="1017" t="n"/>
      <c r="AG85" s="1016" t="inlineStr">
        <is>
          <t>YYYYMM)</t>
        </is>
      </c>
      <c r="AH85" s="973" t="n"/>
      <c r="AI85" s="973" t="n"/>
      <c r="AJ85" s="973" t="n"/>
      <c r="AK85" s="973" t="n"/>
      <c r="AL85" s="973" t="n"/>
      <c r="AM85" s="973" t="n"/>
      <c r="AN85" s="973" t="n"/>
      <c r="AO85" s="973" t="n"/>
      <c r="AP85" s="973" t="n"/>
      <c r="AQ85" s="973" t="n"/>
      <c r="AR85" s="973" t="n"/>
      <c r="AS85" s="973" t="n"/>
      <c r="AT85" s="973" t="n"/>
      <c r="AU85" s="971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3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BO66:CU66"/>
    <mergeCell ref="AT3:BV3"/>
    <mergeCell ref="BO68:CU68"/>
    <mergeCell ref="BY61:CD61"/>
    <mergeCell ref="CF57:CT57"/>
    <mergeCell ref="E75:M75"/>
    <mergeCell ref="BW12:CV12"/>
    <mergeCell ref="N70:Y70"/>
    <mergeCell ref="CF52:CT52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BC64:BC65"/>
    <mergeCell ref="N50:Y51"/>
    <mergeCell ref="BE31:BR31"/>
    <mergeCell ref="BO67:CU67"/>
    <mergeCell ref="BO69:CU69"/>
    <mergeCell ref="E83:M83"/>
    <mergeCell ref="CF58:CT58"/>
    <mergeCell ref="CF60:CT60"/>
    <mergeCell ref="E84:M84"/>
    <mergeCell ref="E78:M78"/>
    <mergeCell ref="BC27:BD27"/>
    <mergeCell ref="BW22:CV22"/>
    <mergeCell ref="BE24:BR24"/>
    <mergeCell ref="BD40:BP40"/>
    <mergeCell ref="BD72:BN72"/>
    <mergeCell ref="BC50:BC51"/>
    <mergeCell ref="Z67:AE67"/>
    <mergeCell ref="E80:M80"/>
    <mergeCell ref="BE26:BR26"/>
    <mergeCell ref="BM50:BX51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M57:BX57"/>
    <mergeCell ref="CF53:CT53"/>
    <mergeCell ref="BE27:BR27"/>
    <mergeCell ref="Z77:AE77"/>
    <mergeCell ref="BY54:CD54"/>
    <mergeCell ref="BD52:BL52"/>
    <mergeCell ref="Z72:AE72"/>
    <mergeCell ref="BD66:BN66"/>
    <mergeCell ref="AG53:AU53"/>
    <mergeCell ref="N67:Y67"/>
    <mergeCell ref="B6:CX6"/>
    <mergeCell ref="BW11:CV11"/>
    <mergeCell ref="N69:Y69"/>
    <mergeCell ref="AG78:AU78"/>
    <mergeCell ref="BQ44:CU44"/>
    <mergeCell ref="Z50:AE51"/>
    <mergeCell ref="BM54:BX54"/>
    <mergeCell ref="BD39:BP39"/>
    <mergeCell ref="AG79:AU79"/>
    <mergeCell ref="AG73:AU73"/>
    <mergeCell ref="AI3:AS3"/>
    <mergeCell ref="Z85:AE85"/>
    <mergeCell ref="AG81:AU81"/>
    <mergeCell ref="BE10:BR10"/>
    <mergeCell ref="BM60:BX60"/>
    <mergeCell ref="BC11:BD11"/>
    <mergeCell ref="CK3:CN3"/>
    <mergeCell ref="BS11:BV11"/>
    <mergeCell ref="BQ42:CU42"/>
    <mergeCell ref="CO3:CX3"/>
    <mergeCell ref="N82:Y82"/>
    <mergeCell ref="BD60:BL60"/>
    <mergeCell ref="BD53:BL53"/>
    <mergeCell ref="BS12:BV12"/>
    <mergeCell ref="BD67:BN67"/>
    <mergeCell ref="Z63:AE63"/>
    <mergeCell ref="BD55:BL55"/>
    <mergeCell ref="BS14:BV14"/>
    <mergeCell ref="AG67:AU67"/>
    <mergeCell ref="BD69:BN69"/>
    <mergeCell ref="BC24:BD24"/>
    <mergeCell ref="BE21:BR21"/>
    <mergeCell ref="BO72:CU72"/>
    <mergeCell ref="AG69:AU69"/>
    <mergeCell ref="BE23:BR23"/>
    <mergeCell ref="E52:M52"/>
    <mergeCell ref="CC3:CJ3"/>
    <mergeCell ref="BD58:BL58"/>
    <mergeCell ref="N72:Y72"/>
    <mergeCell ref="BS25:BV25"/>
    <mergeCell ref="BY56:CD56"/>
    <mergeCell ref="E70:M70"/>
    <mergeCell ref="BE16:BR16"/>
    <mergeCell ref="E57:M57"/>
    <mergeCell ref="AI4:AS4"/>
    <mergeCell ref="BC12:BD12"/>
    <mergeCell ref="Z59:AE59"/>
    <mergeCell ref="N83:Y83"/>
    <mergeCell ref="BC14:BD14"/>
    <mergeCell ref="BE11:BR11"/>
    <mergeCell ref="E58:M58"/>
    <mergeCell ref="BS20:BV20"/>
    <mergeCell ref="BC13:BD13"/>
    <mergeCell ref="N85:Y85"/>
    <mergeCell ref="BD59:BL59"/>
    <mergeCell ref="Z54:AE54"/>
    <mergeCell ref="BS22:BV22"/>
    <mergeCell ref="BD61:BL61"/>
    <mergeCell ref="B2:G2"/>
    <mergeCell ref="BS15:BV15"/>
    <mergeCell ref="BW20:CV20"/>
    <mergeCell ref="AG77:AU77"/>
    <mergeCell ref="CF54:CT54"/>
    <mergeCell ref="E60:M60"/>
    <mergeCell ref="Z68:AE68"/>
    <mergeCell ref="B4:N4"/>
    <mergeCell ref="BC25:BD25"/>
    <mergeCell ref="BS33:BV33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Z61:AE61"/>
    <mergeCell ref="CF55:CT55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BM56:BX56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CF50:CT51"/>
    <mergeCell ref="CF61:CT61"/>
    <mergeCell ref="BE20:BR20"/>
    <mergeCell ref="N59:Y59"/>
    <mergeCell ref="BQ36:CU37"/>
    <mergeCell ref="E76:M76"/>
    <mergeCell ref="BE22:BR22"/>
    <mergeCell ref="CF56:CT56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BD50:BL51"/>
    <mergeCell ref="N57:Y57"/>
    <mergeCell ref="AG66:AU66"/>
    <mergeCell ref="BM52:BX52"/>
    <mergeCell ref="Z78:AE78"/>
    <mergeCell ref="O4:AH4"/>
    <mergeCell ref="E72:M72"/>
    <mergeCell ref="AG74:AU74"/>
    <mergeCell ref="AG68:AU68"/>
    <mergeCell ref="Z80:AE80"/>
    <mergeCell ref="BM53:BX53"/>
    <mergeCell ref="AF50:AF51"/>
    <mergeCell ref="Z55:AE55"/>
    <mergeCell ref="CK2:CN2"/>
    <mergeCell ref="BM55:BX55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BM58:BX58"/>
    <mergeCell ref="AG62:AU62"/>
    <mergeCell ref="CE50:CE51"/>
    <mergeCell ref="BW32:CV32"/>
    <mergeCell ref="Z84:AE84"/>
    <mergeCell ref="N65:Y65"/>
    <mergeCell ref="BD38:BP38"/>
    <mergeCell ref="N63:Y63"/>
    <mergeCell ref="CF59:CT59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BQ40:CU40"/>
    <mergeCell ref="N80:Y80"/>
    <mergeCell ref="Z74:AE74"/>
    <mergeCell ref="BD54:BL54"/>
    <mergeCell ref="AT4:BV4"/>
    <mergeCell ref="N55:Y55"/>
    <mergeCell ref="AG64:AU64"/>
    <mergeCell ref="BD56:BL56"/>
    <mergeCell ref="Z76:AE76"/>
    <mergeCell ref="BY59:CD59"/>
    <mergeCell ref="BD70:BN70"/>
    <mergeCell ref="BD64:BN65"/>
    <mergeCell ref="AG65:AU65"/>
    <mergeCell ref="N71:Y71"/>
    <mergeCell ref="O3:AH3"/>
    <mergeCell ref="N58:Y58"/>
    <mergeCell ref="N73:Y73"/>
    <mergeCell ref="BQ43:CU43"/>
    <mergeCell ref="BD41:BP41"/>
    <mergeCell ref="BS28:BV28"/>
    <mergeCell ref="AG50:AU51"/>
    <mergeCell ref="BY52:CD52"/>
    <mergeCell ref="BD43:BP43"/>
    <mergeCell ref="AG83:AU83"/>
    <mergeCell ref="E66:M66"/>
    <mergeCell ref="BE12:BR12"/>
    <mergeCell ref="E53:M53"/>
    <mergeCell ref="BY50:CD51"/>
    <mergeCell ref="E68:M68"/>
    <mergeCell ref="BE13:BR13"/>
    <mergeCell ref="BC10:BD10"/>
    <mergeCell ref="Z57:AE57"/>
    <mergeCell ref="BS21:BV21"/>
    <mergeCell ref="BQ41:CU41"/>
    <mergeCell ref="AG72:AU72"/>
    <mergeCell ref="BO70:CU70"/>
    <mergeCell ref="BD57:BL57"/>
    <mergeCell ref="BO64:CU65"/>
    <mergeCell ref="Z52:AE52"/>
    <mergeCell ref="BS16:BV16"/>
    <mergeCell ref="BD71:BN71"/>
    <mergeCell ref="BW21:CV21"/>
    <mergeCell ref="CO2:CX2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D68:BN68"/>
    <mergeCell ref="BC23:BD23"/>
    <mergeCell ref="BS29:BV29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0:AU80"/>
    <mergeCell ref="E69:M69"/>
    <mergeCell ref="BE15:BR15"/>
    <mergeCell ref="AB2:CJ2"/>
    <mergeCell ref="BC16:BD16"/>
    <mergeCell ref="BY58:CD58"/>
    <mergeCell ref="Z60:AE60"/>
    <mergeCell ref="BS24:BV24"/>
    <mergeCell ref="BO71:CU71"/>
    <mergeCell ref="BS26:BV26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RESULT. Keep CHANGED_DT of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each part.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7" t="inlineStr">
        <is>
          <t>-</t>
        </is>
      </c>
      <c r="CG22" s="1027" t="inlineStr">
        <is>
          <t>PART_STATUS Active: sent with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its destinations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1" t="n"/>
      <c r="CF24" s="1025" t="n"/>
      <c r="CG24" s="1027" t="inlineStr">
        <is>
          <t>(CROSSDOCK_FLAG 'Y').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7" t="inlineStr">
        <is>
          <t>-</t>
        </is>
      </c>
      <c r="CG25" s="1027" t="inlineStr">
        <is>
          <t>PART_STATUS Inactive: sent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with CROSSDOCK_FLAG 'N' so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AP POLE deletes the part.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7" t="inlineStr">
        <is>
          <t>-</t>
        </is>
      </c>
      <c r="CG28" s="1027" t="inlineStr">
        <is>
          <t>No part: write LOG2 and exit.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8" t="inlineStr">
        <is>
          <t>3.</t>
        </is>
      </c>
      <c r="CF29" s="1025" t="n"/>
      <c r="CG29" s="1027" t="inlineStr">
        <is>
          <t>Create the interface file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XD_CDMASTER_APPOLE_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&lt;YYYYMMDDHHMMSS&gt;.csv in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the outbound folder (see Interface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File / Interface Data):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part: PART_NO,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CROSSDOCK_FLAG 'Y',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PCS_CASE, MAX_CASE_DAY,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EFFECTIVE_START_DATE from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TB_M_PART_CANDIDATE.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Per destination of the ongoing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period: PERIOD, DEST_CODE,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CASE_DAY from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TB_M_PART_CANDIDATE_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DEST (one record each).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7" t="inlineStr">
        <is>
          <t>-</t>
        </is>
      </c>
      <c r="CG44" s="1027" t="inlineStr">
        <is>
          <t>Inactive part: one record with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PART_NO and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CROSSDOCK_FLAG 'N';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other fields of the part and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destination are blank.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3" t="inlineStr">
        <is>
          <t>-</t>
        </is>
      </c>
      <c r="CG49" s="1013" t="inlineStr">
        <is>
          <t>Same SEND_ID and SEND_DT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3" t="inlineStr">
        <is>
          <t>on every record. Error: LOG3, all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3" t="inlineStr">
        <is>
          <t>parts Failed (step 6).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1013" t="inlineStr">
        <is>
          <t>4.</t>
        </is>
      </c>
      <c r="CF54" s="997" t="n"/>
      <c r="CG54" s="1013" t="inlineStr">
        <is>
          <t>Put the file by SFTP on the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3" t="inlineStr">
        <is>
          <t>TMMIN SFTP server (outbound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3" t="inlineStr">
        <is>
          <t>folder) and verify the transfer (file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3" t="inlineStr">
        <is>
          <t>size / record count). The file is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3" t="inlineStr">
        <is>
          <t>forwarded to the TMA SFTP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3" t="inlineStr">
        <is>
          <t>server, where the receive IF of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3" t="inlineStr">
        <is>
          <t>the TMA inserts / updates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3" t="inlineStr">
        <is>
          <t>Crossdock Kanban Part Master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3" t="inlineStr">
        <is>
          <t>and Crossdock Export Part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3" t="inlineStr">
        <is>
          <t>Master (AP POLE).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1013" t="inlineStr">
        <is>
          <t>-</t>
        </is>
      </c>
      <c r="CG64" s="1013" t="inlineStr">
        <is>
          <t>Transfer error: retry (parameter);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3" t="inlineStr">
        <is>
          <t>still failing: LOG4.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3" t="inlineStr">
        <is>
          <t>-</t>
        </is>
      </c>
      <c r="CG66" s="1013" t="inlineStr">
        <is>
          <t>Transfer OK: move the local file to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3" t="inlineStr">
        <is>
          <t>the backup folder.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1013" t="inlineStr">
        <is>
          <t>5.</t>
        </is>
      </c>
      <c r="CF68" s="997" t="n"/>
      <c r="CG68" s="1013" t="inlineStr">
        <is>
          <t>Set the send status of every part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3" t="inlineStr">
        <is>
          <t>of the file in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3" t="inlineStr">
        <is>
          <t>TB_R_CROSSDOCK_IF_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13" t="inlineStr">
        <is>
          <t>RESULT: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1013" t="inlineStr">
        <is>
          <t>-</t>
        </is>
      </c>
      <c r="CG72" s="1013" t="inlineStr">
        <is>
          <t>Transfer OK (file on the TMMIN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3" t="inlineStr">
        <is>
          <t>SFTP server): IF_STATUS = '1',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3" t="inlineStr">
        <is>
          <t>IF_DT = now, IF_FILE_NAME =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3" t="inlineStr">
        <is>
          <t>file name, IF_MESSAGE blank.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1013" t="inlineStr">
        <is>
          <t>-</t>
        </is>
      </c>
      <c r="CG76" s="1013" t="inlineStr">
        <is>
          <t>File or transfer error: IF_STATUS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3">
        <f> '2', IF_DT = now, IF_MESSAGE</f>
        <v/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3">
        <f> error (LOG3 / LOG4).</f>
        <v/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1013" t="inlineStr">
        <is>
          <t>-</t>
        </is>
      </c>
      <c r="CG79" s="1013" t="inlineStr">
        <is>
          <t>The status is the result of the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3" t="inlineStr">
        <is>
          <t>SFTP transfer.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1013" t="inlineStr">
        <is>
          <t>6.</t>
        </is>
      </c>
      <c r="CF81" s="997" t="n"/>
      <c r="CG81" s="1013" t="inlineStr">
        <is>
          <t>Update the overall Sync Status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3" t="inlineStr">
        <is>
          <t>each part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3" t="inlineStr">
        <is>
          <t>TB_M_PART_CANDIDATE and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3" t="inlineStr">
        <is>
          <t>record the history: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1013" t="inlineStr">
        <is>
          <t>-</t>
        </is>
      </c>
      <c r="CG85" s="1013" t="inlineStr">
        <is>
          <t>CHANGED_DT differs from step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3" t="inlineStr">
        <is>
          <t>2 (part changed while sending):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3" t="inlineStr">
        <is>
          <t>SYNC_STATUS = '0' (No Sync).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13" t="inlineStr">
        <is>
          <t>-</t>
        </is>
      </c>
      <c r="CG88" s="1013" t="inlineStr">
        <is>
          <t>Else, status of 'APPOLE' and of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13" t="inlineStr">
        <is>
          <t>'GTOPAS' in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3" t="inlineStr">
        <is>
          <t>TB_R_CROSSDOCK_IF_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3" t="inlineStr">
        <is>
          <t>RESULT: one still '3' -&gt;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13" t="inlineStr">
        <is>
          <t>SYNC_STATUS stays '3'; both '1'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3" t="inlineStr">
        <is>
          <t>-&gt; '1' (Success); one '2' -&gt; '2'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3" t="inlineStr">
        <is>
          <t>(Failed, SYNC_MESSAGE =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3" t="inlineStr">
        <is>
          <t>target + reason).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1013" t="inlineStr">
        <is>
          <t>-</t>
        </is>
      </c>
      <c r="CG98" s="1013" t="inlineStr">
        <is>
          <t>SYNC_DT = now when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3" t="inlineStr">
        <is>
          <t>SYNC_STATUS becomes 1 or 2.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1013" t="inlineStr">
        <is>
          <t>-</t>
        </is>
      </c>
      <c r="CG100" s="1013" t="inlineStr">
        <is>
          <t>Insert TB_H_PART_CANDIDATE: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3" t="inlineStr">
        <is>
          <t>event SYNC, source IF,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13" t="inlineStr">
        <is>
          <t>FIELD_NAME SYNC_STATUS,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3" t="inlineStr">
        <is>
          <t>REMARK = 'APPOLE: ' + result /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1013" t="inlineStr">
        <is>
          <t>message.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1013" t="inlineStr">
        <is>
          <t>7.</t>
        </is>
      </c>
      <c r="CF105" s="997" t="n"/>
      <c r="CG105" s="1013" t="inlineStr">
        <is>
          <t>Write LOG2 with the file name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3" t="inlineStr">
        <is>
          <t>and the number of parts / records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3" t="inlineStr">
        <is>
          <t>sent. Exit.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Active / 'N' Inactive (AP POLE deletes the part; other fields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/>
      <c r="S15" s="856" t="n"/>
      <c r="T15" s="1042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4" t="n"/>
      <c r="AN15" s="856" t="n"/>
      <c r="AO15" s="1045" t="n"/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blank)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4</v>
      </c>
      <c r="S16" s="856" t="n"/>
      <c r="T16" s="1042" t="inlineStr">
        <is>
          <t>PCS_CASE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4</v>
      </c>
      <c r="AN16" s="856" t="n"/>
      <c r="AO16" s="1045" t="inlineStr">
        <is>
          <t>PCS_CASE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MAX_CASE_DAY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5</v>
      </c>
      <c r="AN17" s="856" t="n"/>
      <c r="AO17" s="1045" t="inlineStr">
        <is>
          <t>MAX_CASE_DAY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>
        <v>6</v>
      </c>
      <c r="S18" s="856" t="n"/>
      <c r="T18" s="1042" t="inlineStr">
        <is>
          <t>EFFECTIVE_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43" t="inlineStr">
        <is>
          <t>→</t>
        </is>
      </c>
      <c r="AM18" s="1044" t="n">
        <v>6</v>
      </c>
      <c r="AN18" s="856" t="n"/>
      <c r="AO18" s="104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inlineStr">
        <is>
          <t>Same value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inlineStr">
        <is>
          <t>START_DATE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/>
      <c r="AN19" s="856" t="n"/>
      <c r="AO19" s="104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7</v>
      </c>
      <c r="S20" s="856" t="n"/>
      <c r="T20" s="1042" t="inlineStr">
        <is>
          <t>PERIOD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7</v>
      </c>
      <c r="AN20" s="856" t="n"/>
      <c r="AO20" s="1045" t="inlineStr">
        <is>
          <t>PERIOD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8</v>
      </c>
      <c r="S21" s="856" t="n"/>
      <c r="T21" s="1042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8</v>
      </c>
      <c r="AN21" s="856" t="n"/>
      <c r="AO21" s="1045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9</v>
      </c>
      <c r="S22" s="856" t="n"/>
      <c r="T22" s="1042" t="inlineStr">
        <is>
          <t>CASE_DAY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9</v>
      </c>
      <c r="AN22" s="856" t="n"/>
      <c r="AO22" s="1045" t="inlineStr">
        <is>
          <t>CASE_DAY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Same value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>
        <v>10</v>
      </c>
      <c r="S23" s="856" t="n"/>
      <c r="T23" s="1042" t="inlineStr">
        <is>
          <t>-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43" t="inlineStr">
        <is>
          <t>→</t>
        </is>
      </c>
      <c r="AM23" s="1044" t="n">
        <v>10</v>
      </c>
      <c r="AN23" s="856" t="n"/>
      <c r="AO23" s="1045" t="inlineStr">
        <is>
          <t>SEND_DT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Date-time the file is created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4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5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5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5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5" t="inlineStr">
        <is>
          <t>Result of the file / transfer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6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7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8" t="inlineStr">
        <is>
          <t>Dummy table: rows of the parts of the file for 'APPOLE'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1</v>
      </c>
      <c r="AN28" s="856" t="n"/>
      <c r="AO28" s="1045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'1' transfer OK / '2' file or transfer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2</v>
      </c>
      <c r="AN29" s="856" t="n"/>
      <c r="AO29" s="1045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3</v>
      </c>
      <c r="AN30" s="856" t="n"/>
      <c r="AO30" s="1045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Name of the interface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inlineStr">
        <is>
          <t>'APPOLE'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4</v>
      </c>
      <c r="AN31" s="856" t="n"/>
      <c r="AO31" s="1045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Error when '2'; blank when '1'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5</v>
      </c>
      <c r="AN32" s="856" t="n"/>
      <c r="AO32" s="1045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6</v>
      </c>
      <c r="AN33" s="856" t="n"/>
      <c r="AO33" s="1045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7</v>
      </c>
      <c r="AN34" s="856" t="n"/>
      <c r="AO34" s="1045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8</v>
      </c>
      <c r="AN35" s="856" t="n"/>
      <c r="AO35" s="1045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9</v>
      </c>
      <c r="AN36" s="856" t="n"/>
      <c r="AO36" s="1045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10</v>
      </c>
      <c r="AN37" s="856" t="n"/>
      <c r="AO37" s="1045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>
        <v>11</v>
      </c>
      <c r="AN38" s="856" t="n"/>
      <c r="AO38" s="1045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9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AE18:AL1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K95:Q95"/>
    <mergeCell ref="K88:Q88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AM19:AN19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CF90:CX90"/>
    <mergeCell ref="B27:J27"/>
    <mergeCell ref="AM85:AN85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AE23:AL23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Active parts and parts that became Inactive are sent; Candidate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 and without destinations: the receive IF of the TMA deletes the part (one row per part number) in Cross Dock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Kanban Part Master (same as [Delete] on AP POLE screen WLM9Q890) (decided 30-Oct). GTOPAS deletes all their rows too (XD06, RPA).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follow the target layout.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9" t="inlineStr">
        <is>
          <t>-</t>
        </is>
      </c>
      <c r="D21" s="1049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A part changed on XD01 or by upload while it is being sent gets SYNC_STATUS = No Sync, so the newer data is sent by the next [Sync].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4.4 Open Points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Field names on the side of the target follow the target layout (not detailed in this document).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2" t="n">
        <v>3</v>
      </c>
      <c r="C14" s="957" t="n"/>
      <c r="D14" s="955" t="n"/>
      <c r="E14" s="1004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2" t="n">
        <v>4</v>
      </c>
      <c r="C16" s="957" t="n"/>
      <c r="D16" s="955" t="n"/>
      <c r="E16" s="1004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14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3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0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0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0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4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3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3" t="inlineStr">
        <is>
          <t>the History setting modal of Part List (index PART_NO, CREATED_DT). No retention limit: the history is kept (no housekeeping job, decided 30-Oct).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68" t="inlineStr">
        <is>
          <t>Column</t>
        </is>
      </c>
      <c r="F65" s="952" t="n"/>
      <c r="G65" s="952" t="n"/>
      <c r="H65" s="952" t="n"/>
      <c r="I65" s="952" t="n"/>
      <c r="J65" s="952" t="n"/>
      <c r="K65" s="952" t="n"/>
      <c r="L65" s="952" t="n"/>
      <c r="M65" s="952" t="n"/>
      <c r="N65" s="952" t="n"/>
      <c r="O65" s="952" t="n"/>
      <c r="P65" s="952" t="n"/>
      <c r="Q65" s="952" t="n"/>
      <c r="R65" s="952" t="n"/>
      <c r="S65" s="952" t="n"/>
      <c r="T65" s="951" t="n"/>
      <c r="U65" s="1068" t="inlineStr">
        <is>
          <t>Type</t>
        </is>
      </c>
      <c r="V65" s="952" t="n"/>
      <c r="W65" s="952" t="n"/>
      <c r="X65" s="952" t="n"/>
      <c r="Y65" s="952" t="n"/>
      <c r="Z65" s="952" t="n"/>
      <c r="AA65" s="952" t="n"/>
      <c r="AB65" s="952" t="n"/>
      <c r="AC65" s="952" t="n"/>
      <c r="AD65" s="952" t="n"/>
      <c r="AE65" s="952" t="n"/>
      <c r="AF65" s="951" t="n"/>
      <c r="AG65" s="1068" t="inlineStr">
        <is>
          <t>PK</t>
        </is>
      </c>
      <c r="AH65" s="952" t="n"/>
      <c r="AI65" s="951" t="n"/>
      <c r="AJ65" s="1068" t="inlineStr">
        <is>
          <t>Null</t>
        </is>
      </c>
      <c r="AK65" s="952" t="n"/>
      <c r="AL65" s="952" t="n"/>
      <c r="AM65" s="951" t="n"/>
      <c r="AN65" s="1068" t="inlineStr">
        <is>
          <t>Description</t>
        </is>
      </c>
      <c r="AO65" s="952" t="n"/>
      <c r="AP65" s="952" t="n"/>
      <c r="AQ65" s="952" t="n"/>
      <c r="AR65" s="952" t="n"/>
      <c r="AS65" s="952" t="n"/>
      <c r="AT65" s="952" t="n"/>
      <c r="AU65" s="952" t="n"/>
      <c r="AV65" s="952" t="n"/>
      <c r="AW65" s="952" t="n"/>
      <c r="AX65" s="952" t="n"/>
      <c r="AY65" s="952" t="n"/>
      <c r="AZ65" s="952" t="n"/>
      <c r="BA65" s="952" t="n"/>
      <c r="BB65" s="952" t="n"/>
      <c r="BC65" s="952" t="n"/>
      <c r="BD65" s="952" t="n"/>
      <c r="BE65" s="952" t="n"/>
      <c r="BF65" s="952" t="n"/>
      <c r="BG65" s="952" t="n"/>
      <c r="BH65" s="952" t="n"/>
      <c r="BI65" s="952" t="n"/>
      <c r="BJ65" s="952" t="n"/>
      <c r="BK65" s="952" t="n"/>
      <c r="BL65" s="952" t="n"/>
      <c r="BM65" s="952" t="n"/>
      <c r="BN65" s="952" t="n"/>
      <c r="BO65" s="952" t="n"/>
      <c r="BP65" s="952" t="n"/>
      <c r="BQ65" s="952" t="n"/>
      <c r="BR65" s="952" t="n"/>
      <c r="BS65" s="952" t="n"/>
      <c r="BT65" s="952" t="n"/>
      <c r="BU65" s="952" t="n"/>
      <c r="BV65" s="952" t="n"/>
      <c r="BW65" s="952" t="n"/>
      <c r="BX65" s="952" t="n"/>
      <c r="BY65" s="952" t="n"/>
      <c r="BZ65" s="952" t="n"/>
      <c r="CA65" s="952" t="n"/>
      <c r="CB65" s="952" t="n"/>
      <c r="CC65" s="952" t="n"/>
      <c r="CD65" s="952" t="n"/>
      <c r="CE65" s="952" t="n"/>
      <c r="CF65" s="952" t="n"/>
      <c r="CG65" s="952" t="n"/>
      <c r="CH65" s="952" t="n"/>
      <c r="CI65" s="952" t="n"/>
      <c r="CJ65" s="952" t="n"/>
      <c r="CK65" s="952" t="n"/>
      <c r="CL65" s="952" t="n"/>
      <c r="CM65" s="952" t="n"/>
      <c r="CN65" s="952" t="n"/>
      <c r="CO65" s="952" t="n"/>
      <c r="CP65" s="952" t="n"/>
      <c r="CQ65" s="952" t="n"/>
      <c r="CR65" s="952" t="n"/>
      <c r="CS65" s="951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03" t="inlineStr">
        <is>
          <t>HIST_ID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3" t="inlineStr">
        <is>
          <t>BIGINT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9" t="inlineStr">
        <is>
          <t>Y</t>
        </is>
      </c>
      <c r="AH66" s="957" t="n"/>
      <c r="AI66" s="955" t="n"/>
      <c r="AJ66" s="1069" t="inlineStr">
        <is>
          <t>N</t>
        </is>
      </c>
      <c r="AK66" s="957" t="n"/>
      <c r="AL66" s="957" t="n"/>
      <c r="AM66" s="955" t="n"/>
      <c r="AN66" s="1003" t="inlineStr">
        <is>
          <t>Running number (identity)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3" t="inlineStr">
        <is>
          <t>PART_NO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n"/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3" t="inlineStr">
        <is>
          <t>Part number; length follows TB_M_PART_MASTER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3" t="inlineStr">
        <is>
          <t>PERIOD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CHAR(6)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Y</t>
        </is>
      </c>
      <c r="AK68" s="957" t="n"/>
      <c r="AL68" s="957" t="n"/>
      <c r="AM68" s="955" t="n"/>
      <c r="AN68" s="1003" t="inlineStr">
        <is>
          <t>Calculation period YYYYMM for MAPPING / SYNC / CALC; NULL for ADD / EDIT (Part List has no period)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3" t="inlineStr">
        <is>
          <t>EVENT_TYPE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N</t>
        </is>
      </c>
      <c r="AK69" s="957" t="n"/>
      <c r="AL69" s="957" t="n"/>
      <c r="AM69" s="955" t="n"/>
      <c r="AN69" s="1003" t="inlineStr">
        <is>
          <t>ADD / EDIT / MAPPING / SYNC / CALC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3" t="inlineStr">
        <is>
          <t>SOURCE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3" t="inlineStr">
        <is>
          <t>SCREEN / UPLOAD / IF / BATCH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3" t="inlineStr">
        <is>
          <t>UPLOAD_ID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Y</t>
        </is>
      </c>
      <c r="AK71" s="957" t="n"/>
      <c r="AL71" s="957" t="n"/>
      <c r="AM71" s="955" t="n"/>
      <c r="AN71" s="1003" t="inlineStr">
        <is>
          <t>Upload of the change (Log); NULL when not from an upload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3" t="inlineStr">
        <is>
          <t>DEST_CODE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CHAR(7)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3" t="inlineStr">
        <is>
          <t>Destination code (7 digits) for MAPPING; NULL for other events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3" t="inlineStr">
        <is>
          <t>FIELD_NAME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VARCHAR(30)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N</t>
        </is>
      </c>
      <c r="AK73" s="957" t="n"/>
      <c r="AL73" s="957" t="n"/>
      <c r="AM73" s="955" t="n"/>
      <c r="AN73" s="1003" t="inlineStr">
        <is>
          <t>Changed field: PCS_CASE, MAX_CASE_DAY, MIN_MAD, PART_STATUS, EFFECTIVE_START_DATE, CASE_DAY,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2" t="n"/>
      <c r="N74" s="962" t="n"/>
      <c r="O74" s="962" t="n"/>
      <c r="P74" s="962" t="n"/>
      <c r="Q74" s="962" t="n"/>
      <c r="R74" s="962" t="n"/>
      <c r="S74" s="962" t="n"/>
      <c r="T74" s="960" t="n"/>
      <c r="U74" s="1006" t="n"/>
      <c r="V74" s="962" t="n"/>
      <c r="W74" s="962" t="n"/>
      <c r="X74" s="962" t="n"/>
      <c r="Y74" s="962" t="n"/>
      <c r="Z74" s="962" t="n"/>
      <c r="AA74" s="962" t="n"/>
      <c r="AB74" s="962" t="n"/>
      <c r="AC74" s="962" t="n"/>
      <c r="AD74" s="962" t="n"/>
      <c r="AE74" s="962" t="n"/>
      <c r="AF74" s="960" t="n"/>
      <c r="AG74" s="1071" t="n"/>
      <c r="AH74" s="962" t="n"/>
      <c r="AI74" s="960" t="n"/>
      <c r="AJ74" s="1071" t="n"/>
      <c r="AK74" s="962" t="n"/>
      <c r="AL74" s="962" t="n"/>
      <c r="AM74" s="960" t="n"/>
      <c r="AN74" s="1006" t="inlineStr">
        <is>
          <t>SYNC_STATUS</t>
        </is>
      </c>
      <c r="AO74" s="962" t="n"/>
      <c r="AP74" s="962" t="n"/>
      <c r="AQ74" s="962" t="n"/>
      <c r="AR74" s="962" t="n"/>
      <c r="AS74" s="962" t="n"/>
      <c r="AT74" s="962" t="n"/>
      <c r="AU74" s="962" t="n"/>
      <c r="AV74" s="962" t="n"/>
      <c r="AW74" s="962" t="n"/>
      <c r="AX74" s="962" t="n"/>
      <c r="AY74" s="962" t="n"/>
      <c r="AZ74" s="962" t="n"/>
      <c r="BA74" s="962" t="n"/>
      <c r="BB74" s="962" t="n"/>
      <c r="BC74" s="962" t="n"/>
      <c r="BD74" s="962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2" t="n"/>
      <c r="BO74" s="962" t="n"/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0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3" t="inlineStr">
        <is>
          <t>OLD_VALUE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3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9" t="n"/>
      <c r="AH75" s="957" t="n"/>
      <c r="AI75" s="955" t="n"/>
      <c r="AJ75" s="1069" t="inlineStr">
        <is>
          <t>Y</t>
        </is>
      </c>
      <c r="AK75" s="957" t="n"/>
      <c r="AL75" s="957" t="n"/>
      <c r="AM75" s="955" t="n"/>
      <c r="AN75" s="1003" t="inlineStr">
        <is>
          <t>Value before the change; NULL for ADD or an added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3" t="inlineStr">
        <is>
          <t>NEW_VALUE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3" t="inlineStr">
        <is>
          <t>Value after the change; NULL for a removed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3" t="inlineStr">
        <is>
          <t>REMARK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VARCHAR(500)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3" t="inlineStr">
        <is>
          <t>Free text, e.g. SYNC_MESSAGE of a Failed sync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3" t="inlineStr">
        <is>
          <t>CREATED_BY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VARCHAR(20)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N</t>
        </is>
      </c>
      <c r="AK78" s="957" t="n"/>
      <c r="AL78" s="957" t="n"/>
      <c r="AM78" s="955" t="n"/>
      <c r="AN78" s="1003" t="inlineStr">
        <is>
          <t>User who made the change (IF batch user ID for SYNC, batch user ID for BATCH)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10" t="inlineStr">
        <is>
          <t>CREATED_DT</t>
        </is>
      </c>
      <c r="F79" s="982" t="n"/>
      <c r="G79" s="982" t="n"/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0" t="n"/>
      <c r="U79" s="1010" t="inlineStr">
        <is>
          <t>DATETIME</t>
        </is>
      </c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0" t="n"/>
      <c r="AG79" s="1070" t="n"/>
      <c r="AH79" s="982" t="n"/>
      <c r="AI79" s="980" t="n"/>
      <c r="AJ79" s="1070" t="inlineStr">
        <is>
          <t>N</t>
        </is>
      </c>
      <c r="AK79" s="982" t="n"/>
      <c r="AL79" s="982" t="n"/>
      <c r="AM79" s="980" t="n"/>
      <c r="AN79" s="1010" t="inlineStr">
        <is>
          <t>Date and time of the change</t>
        </is>
      </c>
      <c r="AO79" s="982" t="n"/>
      <c r="AP79" s="982" t="n"/>
      <c r="AQ79" s="982" t="n"/>
      <c r="AR79" s="982" t="n"/>
      <c r="AS79" s="982" t="n"/>
      <c r="AT79" s="982" t="n"/>
      <c r="AU79" s="982" t="n"/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2" t="n"/>
      <c r="CC79" s="982" t="n"/>
      <c r="CD79" s="982" t="n"/>
      <c r="CE79" s="982" t="n"/>
      <c r="CF79" s="982" t="n"/>
      <c r="CG79" s="982" t="n"/>
      <c r="CH79" s="982" t="n"/>
      <c r="CI79" s="982" t="n"/>
      <c r="CJ79" s="982" t="n"/>
      <c r="CK79" s="982" t="n"/>
      <c r="CL79" s="982" t="n"/>
      <c r="CM79" s="982" t="n"/>
      <c r="CN79" s="982" t="n"/>
      <c r="CO79" s="982" t="n"/>
      <c r="CP79" s="982" t="n"/>
      <c r="CQ79" s="982" t="n"/>
      <c r="CR79" s="982" t="n"/>
      <c r="CS79" s="980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J65:AM65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E77:T77"/>
    <mergeCell ref="AN29:CS29"/>
    <mergeCell ref="E15:T15"/>
    <mergeCell ref="E46:T46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2026-10-30T08:24:35Z</dcterms:modified>
  <cp:lastModifiedBy>ivanrayhan</cp:lastModifiedBy>
  <cp:revision>0</cp:revision>
  <cp:lastPrinted>2009-01-19T06:29:27Z</cp:lastPrinted>
</cp:coreProperties>
</file>