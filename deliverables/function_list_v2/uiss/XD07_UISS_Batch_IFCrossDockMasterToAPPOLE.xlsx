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46720</xdr:colOff>
      <xdr:row>29</xdr:row>
      <xdr:rowOff>67737</xdr:rowOff>
    </xdr:from>
    <xdr:to>
      <xdr:col>17</xdr:col>
      <xdr:colOff>56245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18345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33</xdr:row>
      <xdr:rowOff>107338</xdr:rowOff>
    </xdr:from>
    <xdr:to>
      <xdr:col>17</xdr:col>
      <xdr:colOff>56245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18345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38</xdr:row>
      <xdr:rowOff>6034</xdr:rowOff>
    </xdr:from>
    <xdr:to>
      <xdr:col>17</xdr:col>
      <xdr:colOff>56245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618345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88130</xdr:colOff>
      <xdr:row>42</xdr:row>
      <xdr:rowOff>45634</xdr:rowOff>
    </xdr:from>
    <xdr:to>
      <xdr:col>17</xdr:col>
      <xdr:colOff>46720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897755" y="5926369"/>
          <a:ext cx="720590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46720</xdr:colOff>
      <xdr:row>42</xdr:row>
      <xdr:rowOff>45634</xdr:rowOff>
    </xdr:from>
    <xdr:to>
      <xdr:col>25</xdr:col>
      <xdr:colOff>5395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18345" y="5926369"/>
          <a:ext cx="72067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28229</xdr:colOff>
      <xdr:row>27</xdr:row>
      <xdr:rowOff>25400</xdr:rowOff>
    </xdr:from>
    <xdr:to>
      <xdr:col>23</xdr:col>
      <xdr:colOff>65211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28354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526</xdr:colOff>
      <xdr:row>31</xdr:row>
      <xdr:rowOff>65000</xdr:rowOff>
    </xdr:from>
    <xdr:to>
      <xdr:col>22</xdr:col>
      <xdr:colOff>92914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95901" y="4395065"/>
          <a:ext cx="104488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12</xdr:col>
      <xdr:colOff>54583</xdr:colOff>
      <xdr:row>35</xdr:row>
      <xdr:rowOff>104666</xdr:rowOff>
    </xdr:from>
    <xdr:to>
      <xdr:col>22</xdr:col>
      <xdr:colOff>38857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149958" y="4998611"/>
          <a:ext cx="936773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5692</xdr:colOff>
      <xdr:row>40</xdr:row>
      <xdr:rowOff>3297</xdr:rowOff>
    </xdr:from>
    <xdr:to>
      <xdr:col>23</xdr:col>
      <xdr:colOff>87748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1005817" y="5602092"/>
          <a:ext cx="122505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38087</xdr:colOff>
      <xdr:row>44</xdr:row>
      <xdr:rowOff>124032</xdr:rowOff>
    </xdr:from>
    <xdr:to>
      <xdr:col>16</xdr:col>
      <xdr:colOff>42923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2" y="6286707"/>
          <a:ext cx="124308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18</xdr:col>
      <xdr:colOff>82154</xdr:colOff>
      <xdr:row>44</xdr:row>
      <xdr:rowOff>124032</xdr:rowOff>
    </xdr:from>
    <xdr:to>
      <xdr:col>31</xdr:col>
      <xdr:colOff>23886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749029" y="6286707"/>
          <a:ext cx="117998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9</xdr:col>
      <xdr:colOff>82300</xdr:colOff>
      <xdr:row>42</xdr:row>
      <xdr:rowOff>94419</xdr:rowOff>
    </xdr:from>
    <xdr:to>
      <xdr:col>12</xdr:col>
      <xdr:colOff>38104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891925" y="5975154"/>
          <a:ext cx="241554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sent with CROSSDOCK_FLAG 'N' (one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record, no destination): AP POLE deletes the part at part level in Cross Dock Kanban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Master (same as [Delete] on AP POLE screen WLM9Q890) (decided 30-Oct). Source: Part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List (TB_M_PART_CANDIDATE) and Part Mapping per Destination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(TB_M_PART_CANDIDATE_DEST).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Interface method: interface file by SFTP, Option #3 of 'NSP Cross Dock Interfacing Data':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NSP Send IF -&gt; TMMIN SFTP -&gt; TMA SFTP -&gt; receive IF (TMA) -&gt; AP POLE master. SFTP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details, file format and the AP POLE tables are not detailed in this document.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 part is sent as one complete set; AP POLE replaces the data of the part, so a change such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as Philippines up and Thailand down, or a removed destination, arrives as one consistent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update.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The send status per part is kept in TB_R_CROSSDOCK_IF_RESULT (dummy table);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together with XD06 (GTOPAS) it gives the overall Sync Status shown on the Cross Dock Part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Master screen 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TMA; the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part is deleted when CROSSDOCK_FLAG 'N' (not in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inlineStr">
        <is>
          <t>NSP 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0" t="inlineStr">
        <is>
          <t>No</t>
        </is>
      </c>
      <c r="BD50" s="1001" t="inlineStr">
        <is>
          <t>Field</t>
        </is>
      </c>
      <c r="BE50" s="985" t="n"/>
      <c r="BF50" s="985" t="n"/>
      <c r="BG50" s="985" t="n"/>
      <c r="BH50" s="985" t="n"/>
      <c r="BI50" s="985" t="n"/>
      <c r="BJ50" s="985" t="n"/>
      <c r="BK50" s="985" t="n"/>
      <c r="BL50" s="986" t="n"/>
      <c r="BM50" s="1001" t="inlineStr">
        <is>
          <t>Source</t>
        </is>
      </c>
      <c r="BN50" s="985" t="n"/>
      <c r="BO50" s="985" t="n"/>
      <c r="BP50" s="985" t="n"/>
      <c r="BQ50" s="985" t="n"/>
      <c r="BR50" s="985" t="n"/>
      <c r="BS50" s="985" t="n"/>
      <c r="BT50" s="985" t="n"/>
      <c r="BU50" s="985" t="n"/>
      <c r="BV50" s="985" t="n"/>
      <c r="BW50" s="985" t="n"/>
      <c r="BX50" s="986" t="n"/>
      <c r="BY50" s="1001" t="inlineStr">
        <is>
          <t>Format</t>
        </is>
      </c>
      <c r="BZ50" s="985" t="n"/>
      <c r="CA50" s="985" t="n"/>
      <c r="CB50" s="985" t="n"/>
      <c r="CC50" s="985" t="n"/>
      <c r="CD50" s="986" t="n"/>
      <c r="CE50" s="1000" t="inlineStr">
        <is>
          <t>M</t>
        </is>
      </c>
      <c r="CF50" s="1001" t="inlineStr">
        <is>
          <t>Business rule</t>
        </is>
      </c>
      <c r="CG50" s="985" t="n"/>
      <c r="CH50" s="985" t="n"/>
      <c r="CI50" s="985" t="n"/>
      <c r="CJ50" s="985" t="n"/>
      <c r="CK50" s="985" t="n"/>
      <c r="CL50" s="985" t="n"/>
      <c r="CM50" s="985" t="n"/>
      <c r="CN50" s="985" t="n"/>
      <c r="CO50" s="985" t="n"/>
      <c r="CP50" s="985" t="n"/>
      <c r="CQ50" s="985" t="n"/>
      <c r="CR50" s="985" t="n"/>
      <c r="CS50" s="985" t="n"/>
      <c r="CT50" s="986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987" t="n"/>
      <c r="BD51" s="988" t="n"/>
      <c r="BE51" s="989" t="n"/>
      <c r="BF51" s="989" t="n"/>
      <c r="BG51" s="989" t="n"/>
      <c r="BH51" s="989" t="n"/>
      <c r="BI51" s="989" t="n"/>
      <c r="BJ51" s="989" t="n"/>
      <c r="BK51" s="989" t="n"/>
      <c r="BL51" s="990" t="n"/>
      <c r="BM51" s="988" t="n"/>
      <c r="BN51" s="989" t="n"/>
      <c r="BO51" s="989" t="n"/>
      <c r="BP51" s="989" t="n"/>
      <c r="BQ51" s="989" t="n"/>
      <c r="BR51" s="989" t="n"/>
      <c r="BS51" s="989" t="n"/>
      <c r="BT51" s="989" t="n"/>
      <c r="BU51" s="989" t="n"/>
      <c r="BV51" s="989" t="n"/>
      <c r="BW51" s="989" t="n"/>
      <c r="BX51" s="990" t="n"/>
      <c r="BY51" s="988" t="n"/>
      <c r="BZ51" s="989" t="n"/>
      <c r="CA51" s="989" t="n"/>
      <c r="CB51" s="989" t="n"/>
      <c r="CC51" s="989" t="n"/>
      <c r="CD51" s="990" t="n"/>
      <c r="CE51" s="987" t="n"/>
      <c r="CF51" s="988" t="n"/>
      <c r="CG51" s="989" t="n"/>
      <c r="CH51" s="989" t="n"/>
      <c r="CI51" s="989" t="n"/>
      <c r="CJ51" s="989" t="n"/>
      <c r="CK51" s="989" t="n"/>
      <c r="CL51" s="989" t="n"/>
      <c r="CM51" s="989" t="n"/>
      <c r="CN51" s="989" t="n"/>
      <c r="CO51" s="989" t="n"/>
      <c r="CP51" s="989" t="n"/>
      <c r="CQ51" s="989" t="n"/>
      <c r="CR51" s="989" t="n"/>
      <c r="CS51" s="989" t="n"/>
      <c r="CT51" s="990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2" t="n">
        <v>1</v>
      </c>
      <c r="E52" s="1003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3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3" t="inlineStr">
        <is>
          <t>CHAR(14)</t>
        </is>
      </c>
      <c r="AA52" s="957" t="n"/>
      <c r="AB52" s="957" t="n"/>
      <c r="AC52" s="957" t="n"/>
      <c r="AD52" s="957" t="n"/>
      <c r="AE52" s="955" t="n"/>
      <c r="AF52" s="1004" t="inlineStr">
        <is>
          <t>Y</t>
        </is>
      </c>
      <c r="AG52" s="1003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1002" t="n">
        <v>9</v>
      </c>
      <c r="BD52" s="1003" t="inlineStr">
        <is>
          <t>CASE_DAY</t>
        </is>
      </c>
      <c r="BE52" s="957" t="n"/>
      <c r="BF52" s="957" t="n"/>
      <c r="BG52" s="957" t="n"/>
      <c r="BH52" s="957" t="n"/>
      <c r="BI52" s="957" t="n"/>
      <c r="BJ52" s="957" t="n"/>
      <c r="BK52" s="957" t="n"/>
      <c r="BL52" s="955" t="n"/>
      <c r="BM52" s="1003" t="inlineStr">
        <is>
          <t>TB_M_PART_</t>
        </is>
      </c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5" t="n"/>
      <c r="BY52" s="1003" t="inlineStr">
        <is>
          <t>NUMBER(</t>
        </is>
      </c>
      <c r="BZ52" s="957" t="n"/>
      <c r="CA52" s="957" t="n"/>
      <c r="CB52" s="957" t="n"/>
      <c r="CC52" s="957" t="n"/>
      <c r="CD52" s="955" t="n"/>
      <c r="CE52" s="1004" t="inlineStr">
        <is>
          <t>Y</t>
        </is>
      </c>
      <c r="CF52" s="1003" t="inlineStr">
        <is>
          <t>Cases per day allocated to</t>
        </is>
      </c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7" t="n"/>
      <c r="CT52" s="955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5" t="n"/>
      <c r="E53" s="1006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6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6" t="n"/>
      <c r="AA53" s="962" t="n"/>
      <c r="AB53" s="962" t="n"/>
      <c r="AC53" s="962" t="n"/>
      <c r="AD53" s="962" t="n"/>
      <c r="AE53" s="960" t="n"/>
      <c r="AF53" s="1007" t="n"/>
      <c r="AG53" s="1006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5" t="n"/>
      <c r="BD53" s="1006" t="n"/>
      <c r="BE53" s="962" t="n"/>
      <c r="BF53" s="962" t="n"/>
      <c r="BG53" s="962" t="n"/>
      <c r="BH53" s="962" t="n"/>
      <c r="BI53" s="962" t="n"/>
      <c r="BJ53" s="962" t="n"/>
      <c r="BK53" s="962" t="n"/>
      <c r="BL53" s="960" t="n"/>
      <c r="BM53" s="1006" t="inlineStr">
        <is>
          <t>CANDIDATE_DEST.</t>
        </is>
      </c>
      <c r="BN53" s="962" t="n"/>
      <c r="BO53" s="962" t="n"/>
      <c r="BP53" s="962" t="n"/>
      <c r="BQ53" s="962" t="n"/>
      <c r="BR53" s="962" t="n"/>
      <c r="BS53" s="962" t="n"/>
      <c r="BT53" s="962" t="n"/>
      <c r="BU53" s="962" t="n"/>
      <c r="BV53" s="962" t="n"/>
      <c r="BW53" s="962" t="n"/>
      <c r="BX53" s="960" t="n"/>
      <c r="BY53" s="1006" t="inlineStr">
        <is>
          <t>TBD)</t>
        </is>
      </c>
      <c r="BZ53" s="962" t="n"/>
      <c r="CA53" s="962" t="n"/>
      <c r="CB53" s="962" t="n"/>
      <c r="CC53" s="962" t="n"/>
      <c r="CD53" s="960" t="n"/>
      <c r="CE53" s="1007" t="n"/>
      <c r="CF53" s="1006" t="inlineStr">
        <is>
          <t>the destination (minimum 1;</t>
        </is>
      </c>
      <c r="CG53" s="962" t="n"/>
      <c r="CH53" s="962" t="n"/>
      <c r="CI53" s="962" t="n"/>
      <c r="CJ53" s="962" t="n"/>
      <c r="CK53" s="962" t="n"/>
      <c r="CL53" s="962" t="n"/>
      <c r="CM53" s="962" t="n"/>
      <c r="CN53" s="962" t="n"/>
      <c r="CO53" s="962" t="n"/>
      <c r="CP53" s="962" t="n"/>
      <c r="CQ53" s="962" t="n"/>
      <c r="CR53" s="962" t="n"/>
      <c r="CS53" s="962" t="n"/>
      <c r="CT53" s="960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5" t="n"/>
      <c r="BD54" s="1006" t="n"/>
      <c r="BE54" s="962" t="n"/>
      <c r="BF54" s="962" t="n"/>
      <c r="BG54" s="962" t="n"/>
      <c r="BH54" s="962" t="n"/>
      <c r="BI54" s="962" t="n"/>
      <c r="BJ54" s="962" t="n"/>
      <c r="BK54" s="962" t="n"/>
      <c r="BL54" s="960" t="n"/>
      <c r="BM54" s="1006" t="inlineStr">
        <is>
          <t>CASE_DAY</t>
        </is>
      </c>
      <c r="BN54" s="962" t="n"/>
      <c r="BO54" s="962" t="n"/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0" t="n"/>
      <c r="BY54" s="1006" t="n"/>
      <c r="BZ54" s="962" t="n"/>
      <c r="CA54" s="962" t="n"/>
      <c r="CB54" s="962" t="n"/>
      <c r="CC54" s="962" t="n"/>
      <c r="CD54" s="960" t="n"/>
      <c r="CE54" s="1007" t="n"/>
      <c r="CF54" s="1006" t="inlineStr">
        <is>
          <t>sum per part =</t>
        </is>
      </c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0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5" t="n"/>
      <c r="BD55" s="1006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6" t="n"/>
      <c r="BN55" s="962" t="n"/>
      <c r="BO55" s="962" t="n"/>
      <c r="BP55" s="962" t="n"/>
      <c r="BQ55" s="962" t="n"/>
      <c r="BR55" s="962" t="n"/>
      <c r="BS55" s="962" t="n"/>
      <c r="BT55" s="962" t="n"/>
      <c r="BU55" s="962" t="n"/>
      <c r="BV55" s="962" t="n"/>
      <c r="BW55" s="962" t="n"/>
      <c r="BX55" s="960" t="n"/>
      <c r="BY55" s="1006" t="n"/>
      <c r="BZ55" s="962" t="n"/>
      <c r="CA55" s="962" t="n"/>
      <c r="CB55" s="962" t="n"/>
      <c r="CC55" s="962" t="n"/>
      <c r="CD55" s="960" t="n"/>
      <c r="CE55" s="1007" t="n"/>
      <c r="CF55" s="1006" t="inlineStr">
        <is>
          <t>MAX_CASE_DAY)</t>
        </is>
      </c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0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8" t="n">
        <v>10</v>
      </c>
      <c r="BD56" s="1009" t="inlineStr">
        <is>
          <t>SEND_DT</t>
        </is>
      </c>
      <c r="BE56" s="982" t="n"/>
      <c r="BF56" s="982" t="n"/>
      <c r="BG56" s="982" t="n"/>
      <c r="BH56" s="982" t="n"/>
      <c r="BI56" s="982" t="n"/>
      <c r="BJ56" s="982" t="n"/>
      <c r="BK56" s="982" t="n"/>
      <c r="BL56" s="980" t="n"/>
      <c r="BM56" s="1009" t="inlineStr">
        <is>
          <t>Generated</t>
        </is>
      </c>
      <c r="BN56" s="982" t="n"/>
      <c r="BO56" s="982" t="n"/>
      <c r="BP56" s="982" t="n"/>
      <c r="BQ56" s="982" t="n"/>
      <c r="BR56" s="982" t="n"/>
      <c r="BS56" s="982" t="n"/>
      <c r="BT56" s="982" t="n"/>
      <c r="BU56" s="982" t="n"/>
      <c r="BV56" s="982" t="n"/>
      <c r="BW56" s="982" t="n"/>
      <c r="BX56" s="980" t="n"/>
      <c r="BY56" s="1009" t="inlineStr">
        <is>
          <t>DATETIME</t>
        </is>
      </c>
      <c r="BZ56" s="982" t="n"/>
      <c r="CA56" s="982" t="n"/>
      <c r="CB56" s="982" t="n"/>
      <c r="CC56" s="982" t="n"/>
      <c r="CD56" s="980" t="n"/>
      <c r="CE56" s="1010" t="inlineStr">
        <is>
          <t>Y</t>
        </is>
      </c>
      <c r="CF56" s="1009" t="inlineStr">
        <is>
          <t>Date-time the file is created</t>
        </is>
      </c>
      <c r="CG56" s="982" t="n"/>
      <c r="CH56" s="982" t="n"/>
      <c r="CI56" s="982" t="n"/>
      <c r="CJ56" s="982" t="n"/>
      <c r="CK56" s="982" t="n"/>
      <c r="CL56" s="982" t="n"/>
      <c r="CM56" s="982" t="n"/>
      <c r="CN56" s="982" t="n"/>
      <c r="CO56" s="982" t="n"/>
      <c r="CP56" s="982" t="n"/>
      <c r="CQ56" s="982" t="n"/>
      <c r="CR56" s="982" t="n"/>
      <c r="CS56" s="982" t="n"/>
      <c r="CT56" s="980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7" t="n"/>
      <c r="CD57" s="997" t="n"/>
      <c r="CE57" s="997" t="n"/>
      <c r="CF57" s="997" t="n"/>
      <c r="CG57" s="997" t="n"/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11" t="inlineStr">
        <is>
          <t>e.</t>
        </is>
      </c>
      <c r="BD58" s="997" t="n"/>
      <c r="BE58" s="1012" t="inlineStr">
        <is>
          <t>Execution Schedule</t>
        </is>
      </c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7" t="n"/>
      <c r="CD58" s="997" t="n"/>
      <c r="CE58" s="997" t="n"/>
      <c r="CF58" s="997" t="n"/>
      <c r="CG58" s="997" t="n"/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0" t="inlineStr">
        <is>
          <t>No</t>
        </is>
      </c>
      <c r="BD59" s="1001" t="inlineStr">
        <is>
          <t>Item</t>
        </is>
      </c>
      <c r="BE59" s="985" t="n"/>
      <c r="BF59" s="985" t="n"/>
      <c r="BG59" s="985" t="n"/>
      <c r="BH59" s="985" t="n"/>
      <c r="BI59" s="985" t="n"/>
      <c r="BJ59" s="985" t="n"/>
      <c r="BK59" s="985" t="n"/>
      <c r="BL59" s="985" t="n"/>
      <c r="BM59" s="985" t="n"/>
      <c r="BN59" s="986" t="n"/>
      <c r="BO59" s="1001" t="inlineStr">
        <is>
          <t>Description</t>
        </is>
      </c>
      <c r="BP59" s="985" t="n"/>
      <c r="BQ59" s="985" t="n"/>
      <c r="BR59" s="985" t="n"/>
      <c r="BS59" s="985" t="n"/>
      <c r="BT59" s="985" t="n"/>
      <c r="BU59" s="985" t="n"/>
      <c r="BV59" s="985" t="n"/>
      <c r="BW59" s="985" t="n"/>
      <c r="BX59" s="985" t="n"/>
      <c r="BY59" s="985" t="n"/>
      <c r="BZ59" s="985" t="n"/>
      <c r="CA59" s="985" t="n"/>
      <c r="CB59" s="985" t="n"/>
      <c r="CC59" s="985" t="n"/>
      <c r="CD59" s="985" t="n"/>
      <c r="CE59" s="985" t="n"/>
      <c r="CF59" s="985" t="n"/>
      <c r="CG59" s="985" t="n"/>
      <c r="CH59" s="985" t="n"/>
      <c r="CI59" s="985" t="n"/>
      <c r="CJ59" s="985" t="n"/>
      <c r="CK59" s="985" t="n"/>
      <c r="CL59" s="985" t="n"/>
      <c r="CM59" s="985" t="n"/>
      <c r="CN59" s="985" t="n"/>
      <c r="CO59" s="985" t="n"/>
      <c r="CP59" s="985" t="n"/>
      <c r="CQ59" s="985" t="n"/>
      <c r="CR59" s="985" t="n"/>
      <c r="CS59" s="985" t="n"/>
      <c r="CT59" s="985" t="n"/>
      <c r="CU59" s="986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5" t="n"/>
      <c r="E60" s="1006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6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6" t="n"/>
      <c r="AA60" s="962" t="n"/>
      <c r="AB60" s="962" t="n"/>
      <c r="AC60" s="962" t="n"/>
      <c r="AD60" s="962" t="n"/>
      <c r="AE60" s="960" t="n"/>
      <c r="AF60" s="1007" t="n"/>
      <c r="AG60" s="1006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87" t="n"/>
      <c r="BD60" s="988" t="n"/>
      <c r="BE60" s="989" t="n"/>
      <c r="BF60" s="989" t="n"/>
      <c r="BG60" s="989" t="n"/>
      <c r="BH60" s="989" t="n"/>
      <c r="BI60" s="989" t="n"/>
      <c r="BJ60" s="989" t="n"/>
      <c r="BK60" s="989" t="n"/>
      <c r="BL60" s="989" t="n"/>
      <c r="BM60" s="989" t="n"/>
      <c r="BN60" s="990" t="n"/>
      <c r="BO60" s="988" t="n"/>
      <c r="BP60" s="989" t="n"/>
      <c r="BQ60" s="989" t="n"/>
      <c r="BR60" s="989" t="n"/>
      <c r="BS60" s="989" t="n"/>
      <c r="BT60" s="989" t="n"/>
      <c r="BU60" s="989" t="n"/>
      <c r="BV60" s="989" t="n"/>
      <c r="BW60" s="989" t="n"/>
      <c r="BX60" s="989" t="n"/>
      <c r="BY60" s="989" t="n"/>
      <c r="BZ60" s="989" t="n"/>
      <c r="CA60" s="989" t="n"/>
      <c r="CB60" s="989" t="n"/>
      <c r="CC60" s="989" t="n"/>
      <c r="CD60" s="989" t="n"/>
      <c r="CE60" s="989" t="n"/>
      <c r="CF60" s="989" t="n"/>
      <c r="CG60" s="989" t="n"/>
      <c r="CH60" s="989" t="n"/>
      <c r="CI60" s="989" t="n"/>
      <c r="CJ60" s="989" t="n"/>
      <c r="CK60" s="989" t="n"/>
      <c r="CL60" s="989" t="n"/>
      <c r="CM60" s="989" t="n"/>
      <c r="CN60" s="989" t="n"/>
      <c r="CO60" s="989" t="n"/>
      <c r="CP60" s="989" t="n"/>
      <c r="CQ60" s="989" t="n"/>
      <c r="CR60" s="989" t="n"/>
      <c r="CS60" s="989" t="n"/>
      <c r="CT60" s="989" t="n"/>
      <c r="CU60" s="990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2" t="n">
        <v>3</v>
      </c>
      <c r="E61" s="1013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3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3" t="inlineStr">
        <is>
          <t>CHAR(1)</t>
        </is>
      </c>
      <c r="AA61" s="957" t="n"/>
      <c r="AB61" s="957" t="n"/>
      <c r="AC61" s="957" t="n"/>
      <c r="AD61" s="957" t="n"/>
      <c r="AE61" s="955" t="n"/>
      <c r="AF61" s="1004" t="inlineStr">
        <is>
          <t>Y</t>
        </is>
      </c>
      <c r="AG61" s="1003" t="inlineStr">
        <is>
          <t>'Y' = Active / 'N' = Inactive: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1002" t="n">
        <v>1</v>
      </c>
      <c r="BD61" s="1003" t="inlineStr">
        <is>
          <t>Trigger</t>
        </is>
      </c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5" t="n"/>
      <c r="BO61" s="1003" t="inlineStr">
        <is>
          <t>On demand: [Sync] on XD01 (Mapping per Destination tab) starts</t>
        </is>
      </c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7" t="n"/>
      <c r="CT61" s="957" t="n"/>
      <c r="CU61" s="955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5" t="n"/>
      <c r="E62" s="1014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inlineStr">
        <is>
          <t>the receive IF deletes all rows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1005" t="n"/>
      <c r="BD62" s="1006" t="n"/>
      <c r="BE62" s="962" t="n"/>
      <c r="BF62" s="962" t="n"/>
      <c r="BG62" s="962" t="n"/>
      <c r="BH62" s="962" t="n"/>
      <c r="BI62" s="962" t="n"/>
      <c r="BJ62" s="962" t="n"/>
      <c r="BK62" s="962" t="n"/>
      <c r="BL62" s="962" t="n"/>
      <c r="BM62" s="962" t="n"/>
      <c r="BN62" s="960" t="n"/>
      <c r="BO62" s="1006" t="inlineStr">
        <is>
          <t>XD07 and XD06. No scheduler.</t>
        </is>
      </c>
      <c r="BP62" s="962" t="n"/>
      <c r="BQ62" s="962" t="n"/>
      <c r="BR62" s="962" t="n"/>
      <c r="BS62" s="962" t="n"/>
      <c r="BT62" s="962" t="n"/>
      <c r="BU62" s="962" t="n"/>
      <c r="BV62" s="962" t="n"/>
      <c r="BW62" s="962" t="n"/>
      <c r="BX62" s="962" t="n"/>
      <c r="BY62" s="962" t="n"/>
      <c r="BZ62" s="962" t="n"/>
      <c r="CA62" s="962" t="n"/>
      <c r="CB62" s="962" t="n"/>
      <c r="CC62" s="962" t="n"/>
      <c r="CD62" s="962" t="n"/>
      <c r="CE62" s="962" t="n"/>
      <c r="CF62" s="962" t="n"/>
      <c r="CG62" s="962" t="n"/>
      <c r="CH62" s="962" t="n"/>
      <c r="CI62" s="962" t="n"/>
      <c r="CJ62" s="962" t="n"/>
      <c r="CK62" s="962" t="n"/>
      <c r="CL62" s="962" t="n"/>
      <c r="CM62" s="962" t="n"/>
      <c r="CN62" s="962" t="n"/>
      <c r="CO62" s="962" t="n"/>
      <c r="CP62" s="962" t="n"/>
      <c r="CQ62" s="962" t="n"/>
      <c r="CR62" s="962" t="n"/>
      <c r="CS62" s="962" t="n"/>
      <c r="CT62" s="962" t="n"/>
      <c r="CU62" s="960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5" t="n"/>
      <c r="E63" s="1014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6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6" t="n"/>
      <c r="AA63" s="962" t="n"/>
      <c r="AB63" s="962" t="n"/>
      <c r="AC63" s="962" t="n"/>
      <c r="AD63" s="962" t="n"/>
      <c r="AE63" s="960" t="n"/>
      <c r="AF63" s="1007" t="n"/>
      <c r="AG63" s="1006" t="inlineStr">
        <is>
          <t>of the part in Cross Dock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02" t="n">
        <v>2</v>
      </c>
      <c r="BD63" s="1003" t="inlineStr">
        <is>
          <t>Method</t>
        </is>
      </c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5" t="n"/>
      <c r="BO63" s="1003" t="inlineStr">
        <is>
          <t>interface file by SFTP, Option #3 of 'NSP Cross Dock Interfacing</t>
        </is>
      </c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7" t="n"/>
      <c r="CT63" s="957" t="n"/>
      <c r="CU63" s="955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5" t="n"/>
      <c r="E64" s="1014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Kanban Part Master (same as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1005" t="n"/>
      <c r="BD64" s="1006" t="n"/>
      <c r="BE64" s="962" t="n"/>
      <c r="BF64" s="962" t="n"/>
      <c r="BG64" s="962" t="n"/>
      <c r="BH64" s="962" t="n"/>
      <c r="BI64" s="962" t="n"/>
      <c r="BJ64" s="962" t="n"/>
      <c r="BK64" s="962" t="n"/>
      <c r="BL64" s="962" t="n"/>
      <c r="BM64" s="962" t="n"/>
      <c r="BN64" s="960" t="n"/>
      <c r="BO64" s="1006" t="inlineStr">
        <is>
          <t>Data': NSP Send IF -&gt; TMMIN SFTP -&gt; TMA SFTP -&gt; receive IF</t>
        </is>
      </c>
      <c r="BP64" s="962" t="n"/>
      <c r="BQ64" s="962" t="n"/>
      <c r="BR64" s="962" t="n"/>
      <c r="BS64" s="962" t="n"/>
      <c r="BT64" s="962" t="n"/>
      <c r="BU64" s="962" t="n"/>
      <c r="BV64" s="962" t="n"/>
      <c r="BW64" s="962" t="n"/>
      <c r="BX64" s="962" t="n"/>
      <c r="BY64" s="962" t="n"/>
      <c r="BZ64" s="962" t="n"/>
      <c r="CA64" s="962" t="n"/>
      <c r="CB64" s="962" t="n"/>
      <c r="CC64" s="962" t="n"/>
      <c r="CD64" s="962" t="n"/>
      <c r="CE64" s="962" t="n"/>
      <c r="CF64" s="962" t="n"/>
      <c r="CG64" s="962" t="n"/>
      <c r="CH64" s="962" t="n"/>
      <c r="CI64" s="962" t="n"/>
      <c r="CJ64" s="962" t="n"/>
      <c r="CK64" s="962" t="n"/>
      <c r="CL64" s="962" t="n"/>
      <c r="CM64" s="962" t="n"/>
      <c r="CN64" s="962" t="n"/>
      <c r="CO64" s="962" t="n"/>
      <c r="CP64" s="962" t="n"/>
      <c r="CQ64" s="962" t="n"/>
      <c r="CR64" s="962" t="n"/>
      <c r="CS64" s="962" t="n"/>
      <c r="CT64" s="962" t="n"/>
      <c r="CU64" s="960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5" t="n"/>
      <c r="E65" s="1014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[Delete] on AP POLE screen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1005" t="n"/>
      <c r="BD65" s="1006" t="n"/>
      <c r="BE65" s="962" t="n"/>
      <c r="BF65" s="962" t="n"/>
      <c r="BG65" s="962" t="n"/>
      <c r="BH65" s="962" t="n"/>
      <c r="BI65" s="962" t="n"/>
      <c r="BJ65" s="962" t="n"/>
      <c r="BK65" s="962" t="n"/>
      <c r="BL65" s="962" t="n"/>
      <c r="BM65" s="962" t="n"/>
      <c r="BN65" s="960" t="n"/>
      <c r="BO65" s="1006" t="inlineStr">
        <is>
          <t>(TMA) -&gt; AP POLE master. SFTP details, file format and the AP</t>
        </is>
      </c>
      <c r="BP65" s="962" t="n"/>
      <c r="BQ65" s="962" t="n"/>
      <c r="BR65" s="962" t="n"/>
      <c r="BS65" s="962" t="n"/>
      <c r="BT65" s="962" t="n"/>
      <c r="BU65" s="962" t="n"/>
      <c r="BV65" s="962" t="n"/>
      <c r="BW65" s="962" t="n"/>
      <c r="BX65" s="962" t="n"/>
      <c r="BY65" s="962" t="n"/>
      <c r="BZ65" s="962" t="n"/>
      <c r="CA65" s="962" t="n"/>
      <c r="CB65" s="962" t="n"/>
      <c r="CC65" s="962" t="n"/>
      <c r="CD65" s="962" t="n"/>
      <c r="CE65" s="962" t="n"/>
      <c r="CF65" s="962" t="n"/>
      <c r="CG65" s="962" t="n"/>
      <c r="CH65" s="962" t="n"/>
      <c r="CI65" s="962" t="n"/>
      <c r="CJ65" s="962" t="n"/>
      <c r="CK65" s="962" t="n"/>
      <c r="CL65" s="962" t="n"/>
      <c r="CM65" s="962" t="n"/>
      <c r="CN65" s="962" t="n"/>
      <c r="CO65" s="962" t="n"/>
      <c r="CP65" s="962" t="n"/>
      <c r="CQ65" s="962" t="n"/>
      <c r="CR65" s="962" t="n"/>
      <c r="CS65" s="962" t="n"/>
      <c r="CT65" s="962" t="n"/>
      <c r="CU65" s="960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5" t="n"/>
      <c r="E66" s="1014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WLM9Q890); only PART_NO,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1005" t="n"/>
      <c r="BD66" s="1006" t="n"/>
      <c r="BE66" s="962" t="n"/>
      <c r="BF66" s="962" t="n"/>
      <c r="BG66" s="962" t="n"/>
      <c r="BH66" s="962" t="n"/>
      <c r="BI66" s="962" t="n"/>
      <c r="BJ66" s="962" t="n"/>
      <c r="BK66" s="962" t="n"/>
      <c r="BL66" s="962" t="n"/>
      <c r="BM66" s="962" t="n"/>
      <c r="BN66" s="960" t="n"/>
      <c r="BO66" s="1006" t="inlineStr">
        <is>
          <t>POLE tables are not detailed in this document.</t>
        </is>
      </c>
      <c r="BP66" s="962" t="n"/>
      <c r="BQ66" s="962" t="n"/>
      <c r="BR66" s="962" t="n"/>
      <c r="BS66" s="962" t="n"/>
      <c r="BT66" s="962" t="n"/>
      <c r="BU66" s="962" t="n"/>
      <c r="BV66" s="962" t="n"/>
      <c r="BW66" s="962" t="n"/>
      <c r="BX66" s="962" t="n"/>
      <c r="BY66" s="962" t="n"/>
      <c r="BZ66" s="962" t="n"/>
      <c r="CA66" s="962" t="n"/>
      <c r="CB66" s="962" t="n"/>
      <c r="CC66" s="962" t="n"/>
      <c r="CD66" s="962" t="n"/>
      <c r="CE66" s="962" t="n"/>
      <c r="CF66" s="962" t="n"/>
      <c r="CG66" s="962" t="n"/>
      <c r="CH66" s="962" t="n"/>
      <c r="CI66" s="962" t="n"/>
      <c r="CJ66" s="962" t="n"/>
      <c r="CK66" s="962" t="n"/>
      <c r="CL66" s="962" t="n"/>
      <c r="CM66" s="962" t="n"/>
      <c r="CN66" s="962" t="n"/>
      <c r="CO66" s="962" t="n"/>
      <c r="CP66" s="962" t="n"/>
      <c r="CQ66" s="962" t="n"/>
      <c r="CR66" s="962" t="n"/>
      <c r="CS66" s="962" t="n"/>
      <c r="CT66" s="962" t="n"/>
      <c r="CU66" s="960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5" t="n"/>
      <c r="E67" s="1014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CROSSDOCK_FLAG,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1008" t="n">
        <v>3</v>
      </c>
      <c r="BD67" s="1009" t="inlineStr">
        <is>
          <t>Order</t>
        </is>
      </c>
      <c r="BE67" s="982" t="n"/>
      <c r="BF67" s="982" t="n"/>
      <c r="BG67" s="982" t="n"/>
      <c r="BH67" s="982" t="n"/>
      <c r="BI67" s="982" t="n"/>
      <c r="BJ67" s="982" t="n"/>
      <c r="BK67" s="982" t="n"/>
      <c r="BL67" s="982" t="n"/>
      <c r="BM67" s="982" t="n"/>
      <c r="BN67" s="980" t="n"/>
      <c r="BO67" s="1009" t="inlineStr">
        <is>
          <t>Independent of XD06; both run after [Sync].</t>
        </is>
      </c>
      <c r="BP67" s="982" t="n"/>
      <c r="BQ67" s="982" t="n"/>
      <c r="BR67" s="982" t="n"/>
      <c r="BS67" s="982" t="n"/>
      <c r="BT67" s="982" t="n"/>
      <c r="BU67" s="982" t="n"/>
      <c r="BV67" s="982" t="n"/>
      <c r="BW67" s="982" t="n"/>
      <c r="BX67" s="982" t="n"/>
      <c r="BY67" s="982" t="n"/>
      <c r="BZ67" s="982" t="n"/>
      <c r="CA67" s="982" t="n"/>
      <c r="CB67" s="982" t="n"/>
      <c r="CC67" s="982" t="n"/>
      <c r="CD67" s="982" t="n"/>
      <c r="CE67" s="982" t="n"/>
      <c r="CF67" s="982" t="n"/>
      <c r="CG67" s="982" t="n"/>
      <c r="CH67" s="982" t="n"/>
      <c r="CI67" s="982" t="n"/>
      <c r="CJ67" s="982" t="n"/>
      <c r="CK67" s="982" t="n"/>
      <c r="CL67" s="982" t="n"/>
      <c r="CM67" s="982" t="n"/>
      <c r="CN67" s="982" t="n"/>
      <c r="CO67" s="982" t="n"/>
      <c r="CP67" s="982" t="n"/>
      <c r="CQ67" s="982" t="n"/>
      <c r="CR67" s="982" t="n"/>
      <c r="CS67" s="982" t="n"/>
      <c r="CT67" s="982" t="n"/>
      <c r="CU67" s="980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5" t="n"/>
      <c r="E68" s="1014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SEND_ID and SEND_DT are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5" t="n"/>
      <c r="E69" s="1014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6" t="n"/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6" t="n"/>
      <c r="AA69" s="962" t="n"/>
      <c r="AB69" s="962" t="n"/>
      <c r="AC69" s="962" t="n"/>
      <c r="AD69" s="962" t="n"/>
      <c r="AE69" s="960" t="n"/>
      <c r="AF69" s="1007" t="n"/>
      <c r="AG69" s="1006" t="inlineStr">
        <is>
          <t>filled (decided 30-Oct)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2" t="n">
        <v>4</v>
      </c>
      <c r="E70" s="1003" t="inlineStr">
        <is>
          <t>PCS_CASE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5" t="n"/>
      <c r="N70" s="1003" t="inlineStr">
        <is>
          <t>TB_M_PART_</t>
        </is>
      </c>
      <c r="O70" s="957" t="n"/>
      <c r="P70" s="957" t="n"/>
      <c r="Q70" s="957" t="n"/>
      <c r="R70" s="957" t="n"/>
      <c r="S70" s="957" t="n"/>
      <c r="T70" s="957" t="n"/>
      <c r="U70" s="957" t="n"/>
      <c r="V70" s="957" t="n"/>
      <c r="W70" s="957" t="n"/>
      <c r="X70" s="957" t="n"/>
      <c r="Y70" s="955" t="n"/>
      <c r="Z70" s="1003" t="inlineStr">
        <is>
          <t>NUMBER(</t>
        </is>
      </c>
      <c r="AA70" s="957" t="n"/>
      <c r="AB70" s="957" t="n"/>
      <c r="AC70" s="957" t="n"/>
      <c r="AD70" s="957" t="n"/>
      <c r="AE70" s="955" t="n"/>
      <c r="AF70" s="1004" t="inlineStr">
        <is>
          <t>Y</t>
        </is>
      </c>
      <c r="AG70" s="1003" t="inlineStr">
        <is>
          <t>Pieces per crossdock case;</t>
        </is>
      </c>
      <c r="AH70" s="957" t="n"/>
      <c r="AI70" s="957" t="n"/>
      <c r="AJ70" s="957" t="n"/>
      <c r="AK70" s="957" t="n"/>
      <c r="AL70" s="957" t="n"/>
      <c r="AM70" s="957" t="n"/>
      <c r="AN70" s="957" t="n"/>
      <c r="AO70" s="957" t="n"/>
      <c r="AP70" s="957" t="n"/>
      <c r="AQ70" s="957" t="n"/>
      <c r="AR70" s="957" t="n"/>
      <c r="AS70" s="957" t="n"/>
      <c r="AT70" s="957" t="n"/>
      <c r="AU70" s="955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5" t="n"/>
      <c r="E71" s="1006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6" t="inlineStr">
        <is>
          <t>CANDIDATE.PCS_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6" t="inlineStr">
        <is>
          <t>TBD)</t>
        </is>
      </c>
      <c r="AA71" s="962" t="n"/>
      <c r="AB71" s="962" t="n"/>
      <c r="AC71" s="962" t="n"/>
      <c r="AD71" s="962" t="n"/>
      <c r="AE71" s="960" t="n"/>
      <c r="AF71" s="1007" t="n"/>
      <c r="AG71" s="1006" t="inlineStr">
        <is>
          <t>used to convert pieces to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5" t="n"/>
      <c r="E72" s="1006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6" t="inlineStr">
        <is>
          <t>CASE</t>
        </is>
      </c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6" t="n"/>
      <c r="AA72" s="962" t="n"/>
      <c r="AB72" s="962" t="n"/>
      <c r="AC72" s="962" t="n"/>
      <c r="AD72" s="962" t="n"/>
      <c r="AE72" s="960" t="n"/>
      <c r="AF72" s="1007" t="n"/>
      <c r="AG72" s="1006" t="inlineStr">
        <is>
          <t>cases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2" t="n">
        <v>5</v>
      </c>
      <c r="E73" s="1013" t="inlineStr">
        <is>
          <t>MAX_CASE_DAY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5" t="n"/>
      <c r="N73" s="1003" t="inlineStr">
        <is>
          <t>TB_M_PART_</t>
        </is>
      </c>
      <c r="O73" s="957" t="n"/>
      <c r="P73" s="957" t="n"/>
      <c r="Q73" s="957" t="n"/>
      <c r="R73" s="957" t="n"/>
      <c r="S73" s="957" t="n"/>
      <c r="T73" s="957" t="n"/>
      <c r="U73" s="957" t="n"/>
      <c r="V73" s="957" t="n"/>
      <c r="W73" s="957" t="n"/>
      <c r="X73" s="957" t="n"/>
      <c r="Y73" s="955" t="n"/>
      <c r="Z73" s="1003" t="inlineStr">
        <is>
          <t>NUMBER(</t>
        </is>
      </c>
      <c r="AA73" s="957" t="n"/>
      <c r="AB73" s="957" t="n"/>
      <c r="AC73" s="957" t="n"/>
      <c r="AD73" s="957" t="n"/>
      <c r="AE73" s="955" t="n"/>
      <c r="AF73" s="1004" t="inlineStr">
        <is>
          <t>Y</t>
        </is>
      </c>
      <c r="AG73" s="1003" t="inlineStr">
        <is>
          <t>Maximum cases per day of</t>
        </is>
      </c>
      <c r="AH73" s="957" t="n"/>
      <c r="AI73" s="957" t="n"/>
      <c r="AJ73" s="957" t="n"/>
      <c r="AK73" s="957" t="n"/>
      <c r="AL73" s="957" t="n"/>
      <c r="AM73" s="957" t="n"/>
      <c r="AN73" s="957" t="n"/>
      <c r="AO73" s="957" t="n"/>
      <c r="AP73" s="957" t="n"/>
      <c r="AQ73" s="957" t="n"/>
      <c r="AR73" s="957" t="n"/>
      <c r="AS73" s="957" t="n"/>
      <c r="AT73" s="957" t="n"/>
      <c r="AU73" s="955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5" t="n"/>
      <c r="E74" s="1014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6" t="inlineStr">
        <is>
          <t>CANDIDATE.MAX_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6" t="inlineStr">
        <is>
          <t>TBD)</t>
        </is>
      </c>
      <c r="AA74" s="962" t="n"/>
      <c r="AB74" s="962" t="n"/>
      <c r="AC74" s="962" t="n"/>
      <c r="AD74" s="962" t="n"/>
      <c r="AE74" s="960" t="n"/>
      <c r="AF74" s="1007" t="n"/>
      <c r="AG74" s="1006" t="inlineStr">
        <is>
          <t>the part through crossdock (=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5" t="n"/>
      <c r="E75" s="1014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6" t="inlineStr">
        <is>
          <t>CASE_DAY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6" t="n"/>
      <c r="AA75" s="962" t="n"/>
      <c r="AB75" s="962" t="n"/>
      <c r="AC75" s="962" t="n"/>
      <c r="AD75" s="962" t="n"/>
      <c r="AE75" s="960" t="n"/>
      <c r="AF75" s="1007" t="n"/>
      <c r="AG75" s="1006" t="inlineStr">
        <is>
          <t>total Case/Day of its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5" t="n"/>
      <c r="E76" s="1014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n"/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6" t="n"/>
      <c r="AA76" s="962" t="n"/>
      <c r="AB76" s="962" t="n"/>
      <c r="AC76" s="962" t="n"/>
      <c r="AD76" s="962" t="n"/>
      <c r="AE76" s="960" t="n"/>
      <c r="AF76" s="1007" t="n"/>
      <c r="AG76" s="1006" t="inlineStr">
        <is>
          <t>destinations)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2" t="n">
        <v>6</v>
      </c>
      <c r="E77" s="1003" t="inlineStr">
        <is>
          <t>EFFECTIVE_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3" t="inlineStr">
        <is>
          <t>TB_M_PART_</t>
        </is>
      </c>
      <c r="O77" s="957" t="n"/>
      <c r="P77" s="957" t="n"/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5" t="n"/>
      <c r="Z77" s="1003" t="inlineStr">
        <is>
          <t>DATE</t>
        </is>
      </c>
      <c r="AA77" s="957" t="n"/>
      <c r="AB77" s="957" t="n"/>
      <c r="AC77" s="957" t="n"/>
      <c r="AD77" s="957" t="n"/>
      <c r="AE77" s="955" t="n"/>
      <c r="AF77" s="1004" t="inlineStr">
        <is>
          <t>Y</t>
        </is>
      </c>
      <c r="AG77" s="1003" t="inlineStr">
        <is>
          <t>Date from which the cross</t>
        </is>
      </c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5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5" t="n"/>
      <c r="E78" s="1006" t="inlineStr">
        <is>
          <t>START_DATE</t>
        </is>
      </c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inlineStr">
        <is>
          <t>CANDIDATE.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6" t="inlineStr">
        <is>
          <t>(YYYYMM</t>
        </is>
      </c>
      <c r="AA78" s="962" t="n"/>
      <c r="AB78" s="962" t="n"/>
      <c r="AC78" s="962" t="n"/>
      <c r="AD78" s="962" t="n"/>
      <c r="AE78" s="960" t="n"/>
      <c r="AF78" s="1007" t="n"/>
      <c r="AG78" s="1006" t="inlineStr">
        <is>
          <t>dock setting of the part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5" t="n"/>
      <c r="E79" s="1006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6" t="inlineStr">
        <is>
          <t>EFFECTIVE_START_</t>
        </is>
      </c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6" t="inlineStr">
        <is>
          <t>DD)</t>
        </is>
      </c>
      <c r="AA79" s="962" t="n"/>
      <c r="AB79" s="962" t="n"/>
      <c r="AC79" s="962" t="n"/>
      <c r="AD79" s="962" t="n"/>
      <c r="AE79" s="960" t="n"/>
      <c r="AF79" s="1007" t="n"/>
      <c r="AG79" s="1006" t="inlineStr">
        <is>
          <t>applies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5" t="n"/>
      <c r="E80" s="1006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DATE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6" t="n"/>
      <c r="AA80" s="962" t="n"/>
      <c r="AB80" s="962" t="n"/>
      <c r="AC80" s="962" t="n"/>
      <c r="AD80" s="962" t="n"/>
      <c r="AE80" s="960" t="n"/>
      <c r="AF80" s="1007" t="n"/>
      <c r="AG80" s="1006" t="n"/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2" t="n">
        <v>7</v>
      </c>
      <c r="E81" s="1003" t="inlineStr">
        <is>
          <t>PERIOD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5" t="n"/>
      <c r="N81" s="1003" t="inlineStr">
        <is>
          <t>TB_M_PART_</t>
        </is>
      </c>
      <c r="O81" s="957" t="n"/>
      <c r="P81" s="957" t="n"/>
      <c r="Q81" s="957" t="n"/>
      <c r="R81" s="957" t="n"/>
      <c r="S81" s="957" t="n"/>
      <c r="T81" s="957" t="n"/>
      <c r="U81" s="957" t="n"/>
      <c r="V81" s="957" t="n"/>
      <c r="W81" s="957" t="n"/>
      <c r="X81" s="957" t="n"/>
      <c r="Y81" s="955" t="n"/>
      <c r="Z81" s="1003" t="inlineStr">
        <is>
          <t>CHAR(6)</t>
        </is>
      </c>
      <c r="AA81" s="957" t="n"/>
      <c r="AB81" s="957" t="n"/>
      <c r="AC81" s="957" t="n"/>
      <c r="AD81" s="957" t="n"/>
      <c r="AE81" s="955" t="n"/>
      <c r="AF81" s="1004" t="inlineStr">
        <is>
          <t>Y</t>
        </is>
      </c>
      <c r="AG81" s="1003" t="inlineStr">
        <is>
          <t>Calculation period of the</t>
        </is>
      </c>
      <c r="AH81" s="957" t="n"/>
      <c r="AI81" s="957" t="n"/>
      <c r="AJ81" s="957" t="n"/>
      <c r="AK81" s="957" t="n"/>
      <c r="AL81" s="957" t="n"/>
      <c r="AM81" s="957" t="n"/>
      <c r="AN81" s="957" t="n"/>
      <c r="AO81" s="957" t="n"/>
      <c r="AP81" s="957" t="n"/>
      <c r="AQ81" s="957" t="n"/>
      <c r="AR81" s="957" t="n"/>
      <c r="AS81" s="957" t="n"/>
      <c r="AT81" s="957" t="n"/>
      <c r="AU81" s="955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CANDIDATE_DEST.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6" t="n"/>
      <c r="AA82" s="962" t="n"/>
      <c r="AB82" s="962" t="n"/>
      <c r="AC82" s="962" t="n"/>
      <c r="AD82" s="962" t="n"/>
      <c r="AE82" s="960" t="n"/>
      <c r="AF82" s="1007" t="n"/>
      <c r="AG82" s="1006" t="inlineStr">
        <is>
          <t>mapping (ongoing period,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5" t="n"/>
      <c r="E83" s="1006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6" t="inlineStr">
        <is>
          <t>PERIOD</t>
        </is>
      </c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6" t="n"/>
      <c r="AA83" s="962" t="n"/>
      <c r="AB83" s="962" t="n"/>
      <c r="AC83" s="962" t="n"/>
      <c r="AD83" s="962" t="n"/>
      <c r="AE83" s="960" t="n"/>
      <c r="AF83" s="1007" t="n"/>
      <c r="AG83" s="1006" t="inlineStr">
        <is>
          <t>YYYYMM)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2" t="n">
        <v>8</v>
      </c>
      <c r="E84" s="1003" t="inlineStr">
        <is>
          <t>DEST_CODE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3" t="inlineStr">
        <is>
          <t>TB_M_PART_</t>
        </is>
      </c>
      <c r="O84" s="957" t="n"/>
      <c r="P84" s="957" t="n"/>
      <c r="Q84" s="957" t="n"/>
      <c r="R84" s="957" t="n"/>
      <c r="S84" s="957" t="n"/>
      <c r="T84" s="957" t="n"/>
      <c r="U84" s="957" t="n"/>
      <c r="V84" s="957" t="n"/>
      <c r="W84" s="957" t="n"/>
      <c r="X84" s="957" t="n"/>
      <c r="Y84" s="955" t="n"/>
      <c r="Z84" s="1003" t="inlineStr">
        <is>
          <t>CHAR(7)</t>
        </is>
      </c>
      <c r="AA84" s="957" t="n"/>
      <c r="AB84" s="957" t="n"/>
      <c r="AC84" s="957" t="n"/>
      <c r="AD84" s="957" t="n"/>
      <c r="AE84" s="955" t="n"/>
      <c r="AF84" s="1004" t="inlineStr">
        <is>
          <t>Y</t>
        </is>
      </c>
      <c r="AG84" s="1003" t="inlineStr">
        <is>
          <t>Destination code (buyer code</t>
        </is>
      </c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5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5" t="n"/>
      <c r="E85" s="1006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6" t="inlineStr">
        <is>
          <t>CANDIDATE_DEST.</t>
        </is>
      </c>
      <c r="O85" s="962" t="n"/>
      <c r="P85" s="962" t="n"/>
      <c r="Q85" s="962" t="n"/>
      <c r="R85" s="962" t="n"/>
      <c r="S85" s="962" t="n"/>
      <c r="T85" s="962" t="n"/>
      <c r="U85" s="962" t="n"/>
      <c r="V85" s="962" t="n"/>
      <c r="W85" s="962" t="n"/>
      <c r="X85" s="962" t="n"/>
      <c r="Y85" s="960" t="n"/>
      <c r="Z85" s="1006" t="n"/>
      <c r="AA85" s="962" t="n"/>
      <c r="AB85" s="962" t="n"/>
      <c r="AC85" s="962" t="n"/>
      <c r="AD85" s="962" t="n"/>
      <c r="AE85" s="960" t="n"/>
      <c r="AF85" s="1007" t="n"/>
      <c r="AG85" s="1006" t="inlineStr">
        <is>
          <t>+ PD code,</t>
        </is>
      </c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0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5" t="n"/>
      <c r="E86" s="1006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6" t="inlineStr">
        <is>
          <t>DEST_CODE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6" t="n"/>
      <c r="AA86" s="962" t="n"/>
      <c r="AB86" s="962" t="n"/>
      <c r="AC86" s="962" t="n"/>
      <c r="AD86" s="962" t="n"/>
      <c r="AE86" s="960" t="n"/>
      <c r="AF86" s="1007" t="n"/>
      <c r="AG86" s="1006" t="inlineStr">
        <is>
          <t>TB_M_H0125_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5" t="n"/>
      <c r="E87" s="1006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6" t="n"/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6" t="n"/>
      <c r="AA87" s="962" t="n"/>
      <c r="AB87" s="962" t="n"/>
      <c r="AC87" s="962" t="n"/>
      <c r="AD87" s="962" t="n"/>
      <c r="AE87" s="960" t="n"/>
      <c r="AF87" s="1007" t="n"/>
      <c r="AG87" s="1006" t="inlineStr">
        <is>
          <t>DESTINATION); one record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15" t="n"/>
      <c r="E88" s="1016" t="n"/>
      <c r="F88" s="973" t="n"/>
      <c r="G88" s="973" t="n"/>
      <c r="H88" s="973" t="n"/>
      <c r="I88" s="973" t="n"/>
      <c r="J88" s="973" t="n"/>
      <c r="K88" s="973" t="n"/>
      <c r="L88" s="973" t="n"/>
      <c r="M88" s="971" t="n"/>
      <c r="N88" s="1016" t="n"/>
      <c r="O88" s="973" t="n"/>
      <c r="P88" s="973" t="n"/>
      <c r="Q88" s="973" t="n"/>
      <c r="R88" s="973" t="n"/>
      <c r="S88" s="973" t="n"/>
      <c r="T88" s="973" t="n"/>
      <c r="U88" s="973" t="n"/>
      <c r="V88" s="973" t="n"/>
      <c r="W88" s="973" t="n"/>
      <c r="X88" s="973" t="n"/>
      <c r="Y88" s="971" t="n"/>
      <c r="Z88" s="1016" t="n"/>
      <c r="AA88" s="973" t="n"/>
      <c r="AB88" s="973" t="n"/>
      <c r="AC88" s="973" t="n"/>
      <c r="AD88" s="973" t="n"/>
      <c r="AE88" s="971" t="n"/>
      <c r="AF88" s="1017" t="n"/>
      <c r="AG88" s="1016" t="inlineStr">
        <is>
          <t>per destination</t>
        </is>
      </c>
      <c r="AH88" s="973" t="n"/>
      <c r="AI88" s="973" t="n"/>
      <c r="AJ88" s="973" t="n"/>
      <c r="AK88" s="973" t="n"/>
      <c r="AL88" s="973" t="n"/>
      <c r="AM88" s="973" t="n"/>
      <c r="AN88" s="973" t="n"/>
      <c r="AO88" s="973" t="n"/>
      <c r="AP88" s="973" t="n"/>
      <c r="AQ88" s="973" t="n"/>
      <c r="AR88" s="973" t="n"/>
      <c r="AS88" s="973" t="n"/>
      <c r="AT88" s="973" t="n"/>
      <c r="AU88" s="971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325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BO66:CU66"/>
    <mergeCell ref="AT3:BV3"/>
    <mergeCell ref="E75:M75"/>
    <mergeCell ref="BW12:CV12"/>
    <mergeCell ref="N70:Y70"/>
    <mergeCell ref="CF52:CT52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N50:Y51"/>
    <mergeCell ref="BE31:BR31"/>
    <mergeCell ref="BO67:CU67"/>
    <mergeCell ref="E83:M83"/>
    <mergeCell ref="E84:M84"/>
    <mergeCell ref="E78:M78"/>
    <mergeCell ref="BC27:BD27"/>
    <mergeCell ref="BW22:CV22"/>
    <mergeCell ref="BE24:BR24"/>
    <mergeCell ref="BD40:BP40"/>
    <mergeCell ref="BC50:BC51"/>
    <mergeCell ref="E86:M86"/>
    <mergeCell ref="Z67:AE67"/>
    <mergeCell ref="E80:M80"/>
    <mergeCell ref="BE26:BR26"/>
    <mergeCell ref="BM50:BX51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CF53:CT53"/>
    <mergeCell ref="BE27:BR27"/>
    <mergeCell ref="Z77:AE77"/>
    <mergeCell ref="BY54:CD54"/>
    <mergeCell ref="BO63:CU63"/>
    <mergeCell ref="E87:M87"/>
    <mergeCell ref="BD52:BL52"/>
    <mergeCell ref="Z72:AE72"/>
    <mergeCell ref="BD66:BN66"/>
    <mergeCell ref="AG53:AU53"/>
    <mergeCell ref="N67:Y67"/>
    <mergeCell ref="B6:CX6"/>
    <mergeCell ref="BW11:CV11"/>
    <mergeCell ref="Z88:AE88"/>
    <mergeCell ref="N69:Y69"/>
    <mergeCell ref="AG78:AU78"/>
    <mergeCell ref="BQ44:CU44"/>
    <mergeCell ref="Z50:AE51"/>
    <mergeCell ref="BM54:BX54"/>
    <mergeCell ref="BD39:BP39"/>
    <mergeCell ref="AG79:AU79"/>
    <mergeCell ref="AG73:AU73"/>
    <mergeCell ref="AI3:AS3"/>
    <mergeCell ref="Z85:AE85"/>
    <mergeCell ref="AG81:AU81"/>
    <mergeCell ref="BE10:BR10"/>
    <mergeCell ref="BC11:BD11"/>
    <mergeCell ref="CK3:CN3"/>
    <mergeCell ref="BS11:BV11"/>
    <mergeCell ref="BQ42:CU42"/>
    <mergeCell ref="CO3:CX3"/>
    <mergeCell ref="N82:Y82"/>
    <mergeCell ref="BD53:BL53"/>
    <mergeCell ref="BS12:BV12"/>
    <mergeCell ref="BD67:BN67"/>
    <mergeCell ref="Z63:AE63"/>
    <mergeCell ref="BD55:BL55"/>
    <mergeCell ref="BS14:BV14"/>
    <mergeCell ref="AG67:AU67"/>
    <mergeCell ref="BC24:BD24"/>
    <mergeCell ref="BE21:BR21"/>
    <mergeCell ref="BD59:BN60"/>
    <mergeCell ref="AG69:AU69"/>
    <mergeCell ref="BE23:BR23"/>
    <mergeCell ref="E52:M52"/>
    <mergeCell ref="CC3:CJ3"/>
    <mergeCell ref="N72:Y72"/>
    <mergeCell ref="BO61:CU61"/>
    <mergeCell ref="BD62:BN62"/>
    <mergeCell ref="BS25:BV25"/>
    <mergeCell ref="BY56:CD56"/>
    <mergeCell ref="N88:Y88"/>
    <mergeCell ref="E70:M70"/>
    <mergeCell ref="BD64:BN64"/>
    <mergeCell ref="BE16:BR16"/>
    <mergeCell ref="E57:M57"/>
    <mergeCell ref="AI4:AS4"/>
    <mergeCell ref="BC12:BD12"/>
    <mergeCell ref="Z59:AE59"/>
    <mergeCell ref="N83:Y83"/>
    <mergeCell ref="BC14:BD14"/>
    <mergeCell ref="BE11:BR11"/>
    <mergeCell ref="E58:M58"/>
    <mergeCell ref="BS20:BV20"/>
    <mergeCell ref="BC13:BD13"/>
    <mergeCell ref="N85:Y85"/>
    <mergeCell ref="Z54:AE54"/>
    <mergeCell ref="BS22:BV22"/>
    <mergeCell ref="B2:G2"/>
    <mergeCell ref="BS15:BV15"/>
    <mergeCell ref="BW20:CV20"/>
    <mergeCell ref="AG77:AU77"/>
    <mergeCell ref="CF54:CT54"/>
    <mergeCell ref="E60:M60"/>
    <mergeCell ref="Z68:AE68"/>
    <mergeCell ref="B4:N4"/>
    <mergeCell ref="BC25:BD25"/>
    <mergeCell ref="BO62:CU62"/>
    <mergeCell ref="BS33:BV33"/>
    <mergeCell ref="CC4:CJ4"/>
    <mergeCell ref="BW13:CV13"/>
    <mergeCell ref="BO64:CU64"/>
    <mergeCell ref="N79:Y79"/>
    <mergeCell ref="AG88:AU88"/>
    <mergeCell ref="AG82:AU82"/>
    <mergeCell ref="BS10:BV10"/>
    <mergeCell ref="E71:M71"/>
    <mergeCell ref="BC20:BD20"/>
    <mergeCell ref="BW15:CV15"/>
    <mergeCell ref="BD65:BN65"/>
    <mergeCell ref="Z61:AE61"/>
    <mergeCell ref="CF55:CT55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BM56:BX56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CF50:CT51"/>
    <mergeCell ref="BE20:BR20"/>
    <mergeCell ref="N59:Y59"/>
    <mergeCell ref="BQ36:CU37"/>
    <mergeCell ref="E76:M76"/>
    <mergeCell ref="BE22:BR22"/>
    <mergeCell ref="CF56:CT56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BD50:BL51"/>
    <mergeCell ref="N57:Y57"/>
    <mergeCell ref="AG66:AU66"/>
    <mergeCell ref="BM52:BX52"/>
    <mergeCell ref="Z78:AE78"/>
    <mergeCell ref="O4:AH4"/>
    <mergeCell ref="E72:M72"/>
    <mergeCell ref="AG74:AU74"/>
    <mergeCell ref="AG68:AU68"/>
    <mergeCell ref="Z80:AE80"/>
    <mergeCell ref="BM53:BX53"/>
    <mergeCell ref="AF50:AF51"/>
    <mergeCell ref="Z55:AE55"/>
    <mergeCell ref="CK2:CN2"/>
    <mergeCell ref="BM55:BX55"/>
    <mergeCell ref="E88:M88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BO65:CU65"/>
    <mergeCell ref="AG62:AU62"/>
    <mergeCell ref="CE50:CE51"/>
    <mergeCell ref="BW32:CV32"/>
    <mergeCell ref="Z84:AE84"/>
    <mergeCell ref="N65:Y65"/>
    <mergeCell ref="Z86:AE86"/>
    <mergeCell ref="BD38:BP38"/>
    <mergeCell ref="N63:Y63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BO59:CU60"/>
    <mergeCell ref="AG87:AU87"/>
    <mergeCell ref="BQ40:CU40"/>
    <mergeCell ref="N80:Y80"/>
    <mergeCell ref="Z74:AE74"/>
    <mergeCell ref="BD54:BL54"/>
    <mergeCell ref="AT4:BV4"/>
    <mergeCell ref="N55:Y55"/>
    <mergeCell ref="AG64:AU64"/>
    <mergeCell ref="BD56:BL56"/>
    <mergeCell ref="Z76:AE76"/>
    <mergeCell ref="AG65:AU65"/>
    <mergeCell ref="BD63:BN63"/>
    <mergeCell ref="N71:Y71"/>
    <mergeCell ref="O3:AH3"/>
    <mergeCell ref="N58:Y58"/>
    <mergeCell ref="N73:Y73"/>
    <mergeCell ref="BQ43:CU43"/>
    <mergeCell ref="BD41:BP41"/>
    <mergeCell ref="BS28:BV28"/>
    <mergeCell ref="AG50:AU51"/>
    <mergeCell ref="Z87:AE87"/>
    <mergeCell ref="BY52:CD52"/>
    <mergeCell ref="BD43:BP43"/>
    <mergeCell ref="AG83:AU83"/>
    <mergeCell ref="E66:M66"/>
    <mergeCell ref="BE12:BR12"/>
    <mergeCell ref="E53:M53"/>
    <mergeCell ref="BY50:CD51"/>
    <mergeCell ref="N86:Y86"/>
    <mergeCell ref="E68:M68"/>
    <mergeCell ref="BE13:BR13"/>
    <mergeCell ref="BC10:BD10"/>
    <mergeCell ref="Z57:AE57"/>
    <mergeCell ref="BS21:BV21"/>
    <mergeCell ref="BQ41:CU41"/>
    <mergeCell ref="AG72:AU72"/>
    <mergeCell ref="Z52:AE52"/>
    <mergeCell ref="BS16:BV16"/>
    <mergeCell ref="BW21:CV21"/>
    <mergeCell ref="CO2:CX2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C23:BD23"/>
    <mergeCell ref="BS29:BV29"/>
    <mergeCell ref="N76:Y76"/>
    <mergeCell ref="AG85:AU85"/>
    <mergeCell ref="BY53:CD53"/>
    <mergeCell ref="AG84:AU84"/>
    <mergeCell ref="BY55:CD55"/>
    <mergeCell ref="N77:Y77"/>
    <mergeCell ref="AG86:AU86"/>
    <mergeCell ref="AG80:AU80"/>
    <mergeCell ref="E69:M69"/>
    <mergeCell ref="BE15:BR15"/>
    <mergeCell ref="AB2:CJ2"/>
    <mergeCell ref="BD61:BN61"/>
    <mergeCell ref="BC16:BD16"/>
    <mergeCell ref="N87:Y87"/>
    <mergeCell ref="Z60:AE60"/>
    <mergeCell ref="BS24:BV24"/>
    <mergeCell ref="BS26:BV26"/>
    <mergeCell ref="E62:M62"/>
    <mergeCell ref="BC59:BC60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'APPOLE'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'GTOPAS'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XD07.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'APPOLE'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RESULT. Keep CHANGED_DT of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each part.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7" t="inlineStr">
        <is>
          <t>-</t>
        </is>
      </c>
      <c r="CG22" s="1027" t="inlineStr">
        <is>
          <t>PART_STATUS Active: sent with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its destinations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1" t="n"/>
      <c r="CF24" s="1025" t="n"/>
      <c r="CG24" s="1027" t="inlineStr">
        <is>
          <t>(CROSSDOCK_FLAG 'Y').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7" t="inlineStr">
        <is>
          <t>-</t>
        </is>
      </c>
      <c r="CG25" s="1027" t="inlineStr">
        <is>
          <t>PART_STATUS Inactive: sent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with CROSSDOCK_FLAG 'N' so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AP POLE deletes the part.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7" t="inlineStr">
        <is>
          <t>-</t>
        </is>
      </c>
      <c r="CG28" s="1027" t="inlineStr">
        <is>
          <t>No part: write LOG2 and exit.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8" t="inlineStr">
        <is>
          <t>3.</t>
        </is>
      </c>
      <c r="CF29" s="1025" t="n"/>
      <c r="CG29" s="1027" t="inlineStr">
        <is>
          <t>Create the interface file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XD_CDMASTER_APPOLE_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&lt;YYYYMMDDHHMMSS&gt;.csv in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the outbound folder (see Interface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File / Interface Data):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part: PART_NO,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CROSSDOCK_FLAG 'Y',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PCS_CASE, MAX_CASE_DAY,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EFFECTIVE_START_DATE from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TB_M_PART_CANDIDATE.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Per destination of the ongoing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period: PERIOD, DEST_CODE,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CASE_DAY from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1" t="n"/>
      <c r="CF42" s="1025" t="n"/>
      <c r="CG42" s="1027" t="inlineStr">
        <is>
          <t>TB_M_PART_CANDIDATE_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DEST (one record each).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7" t="inlineStr">
        <is>
          <t>-</t>
        </is>
      </c>
      <c r="CG44" s="1027" t="inlineStr">
        <is>
          <t>Inactive part: one record with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PART_NO and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1" t="n"/>
      <c r="CG46" s="948" t="inlineStr">
        <is>
          <t>CROSSDOCK_FLAG 'N';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other fields of the part and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0" t="n"/>
      <c r="CG48" s="1032" t="inlineStr">
        <is>
          <t>destination are blank.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1011" t="inlineStr">
        <is>
          <t>-</t>
        </is>
      </c>
      <c r="CG49" s="1011" t="inlineStr">
        <is>
          <t>Same SEND_ID and SEND_DT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999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1" t="inlineStr">
        <is>
          <t>on every record. Error: LOG3, all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1" t="inlineStr">
        <is>
          <t>parts Failed (step 6).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1011" t="inlineStr">
        <is>
          <t>4.</t>
        </is>
      </c>
      <c r="CF54" s="997" t="n"/>
      <c r="CG54" s="1011" t="inlineStr">
        <is>
          <t>Put the file by SFTP on the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1" t="inlineStr">
        <is>
          <t>TMMIN SFTP server (outbound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11" t="inlineStr">
        <is>
          <t>folder) and verify the transfer (file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1" t="inlineStr">
        <is>
          <t>size / record count). The file is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1" t="inlineStr">
        <is>
          <t>forwarded to the TMA SFTP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1" t="inlineStr">
        <is>
          <t>server, where the receive IF of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1" t="inlineStr">
        <is>
          <t>the TMA inserts / updates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1" t="inlineStr">
        <is>
          <t>Crossdock Kanban Part Master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11" t="inlineStr">
        <is>
          <t>and Crossdock Export Part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1" t="inlineStr">
        <is>
          <t>Master (AP POLE).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1011" t="inlineStr">
        <is>
          <t>-</t>
        </is>
      </c>
      <c r="CG64" s="1011" t="inlineStr">
        <is>
          <t>Transfer error: retry (parameter);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1" t="inlineStr">
        <is>
          <t>still failing: LOG4.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1" t="inlineStr">
        <is>
          <t>-</t>
        </is>
      </c>
      <c r="CG66" s="1011" t="inlineStr">
        <is>
          <t>Transfer OK: move the local file to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1" t="inlineStr">
        <is>
          <t>the backup folder.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1011" t="inlineStr">
        <is>
          <t>5.</t>
        </is>
      </c>
      <c r="CF68" s="997" t="n"/>
      <c r="CG68" s="1011" t="inlineStr">
        <is>
          <t>Set the send status of every part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1" t="inlineStr">
        <is>
          <t>of the file in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1" t="inlineStr">
        <is>
          <t>TB_R_CROSSDOCK_IF_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997" t="n"/>
      <c r="CG71" s="1011" t="inlineStr">
        <is>
          <t>RESULT: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1011" t="inlineStr">
        <is>
          <t>-</t>
        </is>
      </c>
      <c r="CG72" s="1011" t="inlineStr">
        <is>
          <t>Transfer OK (file on the TMMIN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1" t="inlineStr">
        <is>
          <t>SFTP server): IF_STATUS = '1',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1" t="inlineStr">
        <is>
          <t>IF_DT = now, IF_FILE_NAME =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11" t="inlineStr">
        <is>
          <t>file name, IF_MESSAGE blank.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1011" t="inlineStr">
        <is>
          <t>-</t>
        </is>
      </c>
      <c r="CG76" s="1011" t="inlineStr">
        <is>
          <t>File or transfer error: IF_STATUS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1">
        <f> '2', IF_DT = now, IF_MESSAGE</f>
        <v/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1">
        <f> error (LOG3 / LOG4).</f>
        <v/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1011" t="inlineStr">
        <is>
          <t>-</t>
        </is>
      </c>
      <c r="CG79" s="1011" t="inlineStr">
        <is>
          <t>The status is the result of the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1" t="inlineStr">
        <is>
          <t>SFTP transfer.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1011" t="inlineStr">
        <is>
          <t>6.</t>
        </is>
      </c>
      <c r="CF81" s="997" t="n"/>
      <c r="CG81" s="1011" t="inlineStr">
        <is>
          <t>Update the overall Sync Status of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1" t="inlineStr">
        <is>
          <t>each part in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1" t="inlineStr">
        <is>
          <t>TB_M_PART_CANDIDATE and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1" t="inlineStr">
        <is>
          <t>record the history: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1011" t="inlineStr">
        <is>
          <t>-</t>
        </is>
      </c>
      <c r="CG85" s="1011" t="inlineStr">
        <is>
          <t>CHANGED_DT differs from step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1" t="inlineStr">
        <is>
          <t>2 (part changed while sending):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1" t="inlineStr">
        <is>
          <t>SYNC_STATUS = '0' (No Sync).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11" t="inlineStr">
        <is>
          <t>-</t>
        </is>
      </c>
      <c r="CG88" s="1011" t="inlineStr">
        <is>
          <t>Else, status of 'APPOLE' and of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11" t="inlineStr">
        <is>
          <t>'GTOPAS' in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1" t="inlineStr">
        <is>
          <t>TB_R_CROSSDOCK_IF_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1" t="inlineStr">
        <is>
          <t>RESULT: one still '3' -&gt;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3" t="n"/>
      <c r="D92" s="1033" t="n"/>
      <c r="E92" s="1033" t="n"/>
      <c r="F92" s="1033" t="n"/>
      <c r="G92" s="1033" t="n"/>
      <c r="H92" s="1033" t="n"/>
      <c r="I92" s="1033" t="n"/>
      <c r="J92" s="1033" t="n"/>
      <c r="K92" s="1033" t="n"/>
      <c r="L92" s="1033" t="n"/>
      <c r="M92" s="1033" t="n"/>
      <c r="N92" s="1033" t="n"/>
      <c r="O92" s="1033" t="n"/>
      <c r="P92" s="1033" t="n"/>
      <c r="Q92" s="1033" t="n"/>
      <c r="R92" s="1033" t="n"/>
      <c r="S92" s="1033" t="n"/>
      <c r="T92" s="1033" t="n"/>
      <c r="U92" s="1033" t="n"/>
      <c r="V92" s="1033" t="n"/>
      <c r="W92" s="1033" t="n"/>
      <c r="X92" s="1033" t="n"/>
      <c r="Y92" s="1033" t="n"/>
      <c r="Z92" s="1033" t="n"/>
      <c r="AA92" s="1033" t="n"/>
      <c r="AB92" s="1033" t="n"/>
      <c r="AC92" s="1033" t="n"/>
      <c r="AD92" s="1033" t="n"/>
      <c r="AE92" s="1033" t="n"/>
      <c r="AF92" s="1033" t="n"/>
      <c r="AG92" s="1033" t="n"/>
      <c r="AH92" s="1033" t="n"/>
      <c r="AI92" s="1033" t="n"/>
      <c r="AJ92" s="1033" t="n"/>
      <c r="AK92" s="1033" t="n"/>
      <c r="AL92" s="1033" t="n"/>
      <c r="AM92" s="1033" t="n"/>
      <c r="AN92" s="1033" t="n"/>
      <c r="AO92" s="1033" t="n"/>
      <c r="AP92" s="1033" t="n"/>
      <c r="AQ92" s="1033" t="n"/>
      <c r="AR92" s="1033" t="n"/>
      <c r="AS92" s="1033" t="n"/>
      <c r="AT92" s="1033" t="n"/>
      <c r="AU92" s="1033" t="n"/>
      <c r="AV92" s="1033" t="n"/>
      <c r="AW92" s="1033" t="n"/>
      <c r="AX92" s="1033" t="n"/>
      <c r="AY92" s="1033" t="n"/>
      <c r="AZ92" s="1033" t="n"/>
      <c r="BA92" s="1033" t="n"/>
      <c r="BB92" s="1033" t="n"/>
      <c r="BC92" s="1033" t="n"/>
      <c r="BD92" s="1033" t="n"/>
      <c r="BE92" s="1033" t="n"/>
      <c r="BF92" s="1033" t="n"/>
      <c r="BG92" s="1033" t="n"/>
      <c r="BH92" s="1033" t="n"/>
      <c r="BI92" s="1033" t="n"/>
      <c r="BJ92" s="1033" t="n"/>
      <c r="BK92" s="1033" t="n"/>
      <c r="BL92" s="1033" t="n"/>
      <c r="BM92" s="1033" t="n"/>
      <c r="BN92" s="1033" t="n"/>
      <c r="BO92" s="1033" t="n"/>
      <c r="BP92" s="1033" t="n"/>
      <c r="BQ92" s="1033" t="n"/>
      <c r="BR92" s="1033" t="n"/>
      <c r="BS92" s="1033" t="n"/>
      <c r="BT92" s="1033" t="n"/>
      <c r="BU92" s="1033" t="n"/>
      <c r="BV92" s="1033" t="n"/>
      <c r="BW92" s="1033" t="n"/>
      <c r="BX92" s="1033" t="n"/>
      <c r="BY92" s="1033" t="n"/>
      <c r="BZ92" s="1033" t="n"/>
      <c r="CA92" s="1033" t="n"/>
      <c r="CB92" s="1033" t="n"/>
      <c r="CC92" s="999" t="n"/>
      <c r="CD92" s="1033" t="n"/>
      <c r="CE92" s="1033" t="n"/>
      <c r="CF92" s="1033" t="n"/>
      <c r="CG92" s="1033" t="n"/>
      <c r="CH92" s="1033" t="n"/>
      <c r="CI92" s="1033" t="n"/>
      <c r="CJ92" s="1033" t="n"/>
      <c r="CK92" s="1033" t="n"/>
      <c r="CL92" s="1033" t="n"/>
      <c r="CM92" s="1033" t="n"/>
      <c r="CN92" s="1033" t="n"/>
      <c r="CO92" s="1033" t="n"/>
      <c r="CP92" s="1033" t="n"/>
      <c r="CQ92" s="1033" t="n"/>
      <c r="CR92" s="1033" t="n"/>
      <c r="CS92" s="1033" t="n"/>
      <c r="CT92" s="1033" t="n"/>
      <c r="CU92" s="1033" t="n"/>
      <c r="CV92" s="1033" t="n"/>
      <c r="CW92" s="1033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11" t="inlineStr">
        <is>
          <t>SYNC_STATUS stays '3'; both '1'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1" t="inlineStr">
        <is>
          <t>-&gt; '1' (Success); one '2' -&gt; '2'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1" t="inlineStr">
        <is>
          <t>(Failed, SYNC_MESSAGE =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1" t="inlineStr">
        <is>
          <t>target + reason).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1011" t="inlineStr">
        <is>
          <t>-</t>
        </is>
      </c>
      <c r="CG98" s="1011" t="inlineStr">
        <is>
          <t>SYNC_DT = now when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1" t="inlineStr">
        <is>
          <t>SYNC_STATUS becomes 1 or 2.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1011" t="inlineStr">
        <is>
          <t>-</t>
        </is>
      </c>
      <c r="CG100" s="1011" t="inlineStr">
        <is>
          <t>Insert TB_H_PART_CANDIDATE: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1" t="inlineStr">
        <is>
          <t>event SYNC, source IF,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11" t="inlineStr">
        <is>
          <t>FIELD_NAME SYNC_STATUS,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1" t="inlineStr">
        <is>
          <t>REMARK = 'APPOLE: ' + result /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1011" t="inlineStr">
        <is>
          <t>message.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1011" t="inlineStr">
        <is>
          <t>7.</t>
        </is>
      </c>
      <c r="CF105" s="997" t="n"/>
      <c r="CG105" s="1011" t="inlineStr">
        <is>
          <t>Write LOG2 with the file name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1" t="inlineStr">
        <is>
          <t>and the number of parts / records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1" t="inlineStr">
        <is>
          <t>sent. Exit.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8" t="n"/>
      <c r="C134" s="1019" t="n"/>
      <c r="D134" s="1019" t="n"/>
      <c r="E134" s="1019" t="n"/>
      <c r="F134" s="1019" t="n"/>
      <c r="G134" s="1019" t="n"/>
      <c r="H134" s="1019" t="n"/>
      <c r="I134" s="1019" t="n"/>
      <c r="J134" s="1019" t="n"/>
      <c r="K134" s="1019" t="n"/>
      <c r="L134" s="1019" t="n"/>
      <c r="M134" s="1019" t="n"/>
      <c r="N134" s="1019" t="n"/>
      <c r="O134" s="1019" t="n"/>
      <c r="P134" s="1019" t="n"/>
      <c r="Q134" s="1019" t="n"/>
      <c r="R134" s="1019" t="n"/>
      <c r="S134" s="1019" t="n"/>
      <c r="T134" s="1019" t="n"/>
      <c r="U134" s="1019" t="n"/>
      <c r="V134" s="1019" t="n"/>
      <c r="W134" s="1019" t="n"/>
      <c r="X134" s="1019" t="n"/>
      <c r="Y134" s="1019" t="n"/>
      <c r="Z134" s="1019" t="n"/>
      <c r="AA134" s="1019" t="n"/>
      <c r="AB134" s="1019" t="n"/>
      <c r="AC134" s="1019" t="n"/>
      <c r="AD134" s="1019" t="n"/>
      <c r="AE134" s="1019" t="n"/>
      <c r="AF134" s="1019" t="n"/>
      <c r="AG134" s="1019" t="n"/>
      <c r="AH134" s="1019" t="n"/>
      <c r="AI134" s="1019" t="n"/>
      <c r="AJ134" s="1019" t="n"/>
      <c r="AK134" s="1019" t="n"/>
      <c r="AL134" s="1019" t="n"/>
      <c r="AM134" s="1019" t="n"/>
      <c r="AN134" s="1019" t="n"/>
      <c r="AO134" s="1019" t="n"/>
      <c r="AP134" s="1019" t="n"/>
      <c r="AQ134" s="1019" t="n"/>
      <c r="AR134" s="1019" t="n"/>
      <c r="AS134" s="1019" t="n"/>
      <c r="AT134" s="1019" t="n"/>
      <c r="AU134" s="1019" t="n"/>
      <c r="AV134" s="1019" t="n"/>
      <c r="AW134" s="1019" t="n"/>
      <c r="AX134" s="1019" t="n"/>
      <c r="AY134" s="1019" t="n"/>
      <c r="AZ134" s="1019" t="n"/>
      <c r="BA134" s="1019" t="n"/>
      <c r="BB134" s="1019" t="n"/>
      <c r="BC134" s="1019" t="n"/>
      <c r="BD134" s="1019" t="n"/>
      <c r="BE134" s="1019" t="n"/>
      <c r="BF134" s="1019" t="n"/>
      <c r="BG134" s="1019" t="n"/>
      <c r="BH134" s="1019" t="n"/>
      <c r="BI134" s="1019" t="n"/>
      <c r="BJ134" s="1019" t="n"/>
      <c r="BK134" s="1019" t="n"/>
      <c r="BL134" s="1019" t="n"/>
      <c r="BM134" s="1019" t="n"/>
      <c r="BN134" s="1019" t="n"/>
      <c r="BO134" s="1019" t="n"/>
      <c r="BP134" s="1019" t="n"/>
      <c r="BQ134" s="1019" t="n"/>
      <c r="BR134" s="1019" t="n"/>
      <c r="BS134" s="1019" t="n"/>
      <c r="BT134" s="1019" t="n"/>
      <c r="BU134" s="1019" t="n"/>
      <c r="BV134" s="1019" t="n"/>
      <c r="BW134" s="1019" t="n"/>
      <c r="BX134" s="1019" t="n"/>
      <c r="BY134" s="1019" t="n"/>
      <c r="BZ134" s="1019" t="n"/>
      <c r="CA134" s="1019" t="n"/>
      <c r="CB134" s="1019" t="n"/>
      <c r="CC134" s="1020" t="n"/>
      <c r="CD134" s="1019" t="n"/>
      <c r="CE134" s="1019" t="n"/>
      <c r="CF134" s="1019" t="n"/>
      <c r="CG134" s="1019" t="n"/>
      <c r="CH134" s="1019" t="n"/>
      <c r="CI134" s="1019" t="n"/>
      <c r="CJ134" s="1019" t="n"/>
      <c r="CK134" s="1019" t="n"/>
      <c r="CL134" s="1019" t="n"/>
      <c r="CM134" s="1019" t="n"/>
      <c r="CN134" s="1019" t="n"/>
      <c r="CO134" s="1019" t="n"/>
      <c r="CP134" s="1019" t="n"/>
      <c r="CQ134" s="1019" t="n"/>
      <c r="CR134" s="1019" t="n"/>
      <c r="CS134" s="1019" t="n"/>
      <c r="CT134" s="1019" t="n"/>
      <c r="CU134" s="1019" t="n"/>
      <c r="CV134" s="1019" t="n"/>
      <c r="CW134" s="1019" t="n"/>
      <c r="CX134" s="1020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Active / 'N' Inactive (AP POLE deletes the part; other fields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/>
      <c r="S15" s="856" t="n"/>
      <c r="T15" s="1042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4" t="n"/>
      <c r="AN15" s="856" t="n"/>
      <c r="AO15" s="1045" t="n"/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blank)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4</v>
      </c>
      <c r="S16" s="856" t="n"/>
      <c r="T16" s="1042" t="inlineStr">
        <is>
          <t>PCS_CASE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4</v>
      </c>
      <c r="AN16" s="856" t="n"/>
      <c r="AO16" s="1045" t="inlineStr">
        <is>
          <t>PCS_CASE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MAX_CASE_DAY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5</v>
      </c>
      <c r="AN17" s="856" t="n"/>
      <c r="AO17" s="1045" t="inlineStr">
        <is>
          <t>MAX_CASE_DAY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>
        <v>6</v>
      </c>
      <c r="S18" s="856" t="n"/>
      <c r="T18" s="1042" t="inlineStr">
        <is>
          <t>EFFECTIVE_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43" t="inlineStr">
        <is>
          <t>→</t>
        </is>
      </c>
      <c r="AM18" s="1044" t="n">
        <v>6</v>
      </c>
      <c r="AN18" s="856" t="n"/>
      <c r="AO18" s="1045" t="inlineStr">
        <is>
          <t>EFFECTIVE_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inlineStr">
        <is>
          <t>Same value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inlineStr">
        <is>
          <t>START_DATE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/>
      <c r="AN19" s="856" t="n"/>
      <c r="AO19" s="1045" t="inlineStr">
        <is>
          <t>START_DATE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7</v>
      </c>
      <c r="S20" s="856" t="n"/>
      <c r="T20" s="1042" t="inlineStr">
        <is>
          <t>PERIOD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7</v>
      </c>
      <c r="AN20" s="856" t="n"/>
      <c r="AO20" s="1045" t="inlineStr">
        <is>
          <t>PERIOD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8</v>
      </c>
      <c r="S21" s="856" t="n"/>
      <c r="T21" s="1042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8</v>
      </c>
      <c r="AN21" s="856" t="n"/>
      <c r="AO21" s="1045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9</v>
      </c>
      <c r="S22" s="856" t="n"/>
      <c r="T22" s="1042" t="inlineStr">
        <is>
          <t>CASE_DAY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9</v>
      </c>
      <c r="AN22" s="856" t="n"/>
      <c r="AO22" s="1045" t="inlineStr">
        <is>
          <t>CASE_DAY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Same value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>
        <v>10</v>
      </c>
      <c r="S23" s="856" t="n"/>
      <c r="T23" s="1042" t="inlineStr">
        <is>
          <t>-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43" t="inlineStr">
        <is>
          <t>→</t>
        </is>
      </c>
      <c r="AM23" s="1044" t="n">
        <v>10</v>
      </c>
      <c r="AN23" s="856" t="n"/>
      <c r="AO23" s="1045" t="inlineStr">
        <is>
          <t>SEND_DT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Date-time the file is created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4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5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5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5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5" t="inlineStr">
        <is>
          <t>Result of the file / transfer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6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7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8" t="inlineStr">
        <is>
          <t>Dummy table: rows of the parts of the file for 'APPOLE'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1</v>
      </c>
      <c r="AN28" s="856" t="n"/>
      <c r="AO28" s="1045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'1' transfer OK / '2' file or transfer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2</v>
      </c>
      <c r="AN29" s="856" t="n"/>
      <c r="AO29" s="1045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3</v>
      </c>
      <c r="AN30" s="856" t="n"/>
      <c r="AO30" s="1045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Name of the interface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inlineStr">
        <is>
          <t>'APPOLE'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4</v>
      </c>
      <c r="AN31" s="856" t="n"/>
      <c r="AO31" s="1045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Error when '2'; blank when '1'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5</v>
      </c>
      <c r="AN32" s="856" t="n"/>
      <c r="AO32" s="1045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6</v>
      </c>
      <c r="AN33" s="856" t="n"/>
      <c r="AO33" s="1045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7</v>
      </c>
      <c r="AN34" s="856" t="n"/>
      <c r="AO34" s="1045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8</v>
      </c>
      <c r="AN35" s="856" t="n"/>
      <c r="AO35" s="1045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9</v>
      </c>
      <c r="AN36" s="856" t="n"/>
      <c r="AO36" s="1045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10</v>
      </c>
      <c r="AN37" s="856" t="n"/>
      <c r="AO37" s="1045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>
        <v>11</v>
      </c>
      <c r="AN38" s="856" t="n"/>
      <c r="AO38" s="1045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997" t="n"/>
    </row>
  </sheetData>
  <mergeCells count="679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AE18:AL1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K95:Q95"/>
    <mergeCell ref="K88:Q88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AM19:AN19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CF90:CX90"/>
    <mergeCell ref="B27:J27"/>
    <mergeCell ref="AM85:AN85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AE23:AL23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Active parts and parts that became Inactive are sent; Candidate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 and without destinations: the receive IF of the TMA deletes the part at part level in Cross Dock Kanban Part Master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(same as [Delete] on AP POLE screen WLM9Q890) (decided 30-Oct). GTOPAS deletes all their rows too (XD06, RPA).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9" t="inlineStr">
        <is>
          <t>-</t>
        </is>
      </c>
      <c r="D21" s="1049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 part changed on XD01 or by upload while it is being sent gets SYNC_STATUS = No Sync, so the newer data is sent by the next [Sync].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4.4 Open Points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Field names on the side of the target follow the target layout (not detailed in this document).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Receive IF of the TMA for CROSSDOCK_FLAG 'N': delete all rows of the part, or only the rows from the ongoing effective month - to be confirmed with the TMA.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2" t="n">
        <v>3</v>
      </c>
      <c r="C14" s="957" t="n"/>
      <c r="D14" s="955" t="n"/>
      <c r="E14" s="1004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2" t="n">
        <v>4</v>
      </c>
      <c r="C16" s="957" t="n"/>
      <c r="D16" s="955" t="n"/>
      <c r="E16" s="1004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12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1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09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09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09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12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1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1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1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3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3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3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3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3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3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3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3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3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3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3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3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3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3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3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3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3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6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6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06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3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3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3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3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3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3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3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3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3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09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09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09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2026-10-30T08:07:45Z</dcterms:modified>
  <cp:lastModifiedBy>ivanrayhan</cp:lastModifiedBy>
  <cp:revision>0</cp:revision>
  <cp:lastPrinted>2009-01-19T06:29:27Z</cp:lastPrinted>
</cp:coreProperties>
</file>