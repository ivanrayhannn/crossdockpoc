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85682</xdr:colOff>
      <xdr:row>27</xdr:row>
      <xdr:rowOff>100165</xdr:rowOff>
    </xdr:from>
    <xdr:to>
      <xdr:col>18</xdr:col>
      <xdr:colOff>95207</xdr:colOff>
      <xdr:row>29</xdr:row>
      <xdr:rowOff>125348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752557" y="3866350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32</xdr:row>
      <xdr:rowOff>59144</xdr:rowOff>
    </xdr:from>
    <xdr:to>
      <xdr:col>18</xdr:col>
      <xdr:colOff>95207</xdr:colOff>
      <xdr:row>34</xdr:row>
      <xdr:rowOff>84399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752557" y="4530179"/>
          <a:ext cx="1" cy="3071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37</xdr:row>
      <xdr:rowOff>18194</xdr:rowOff>
    </xdr:from>
    <xdr:to>
      <xdr:col>18</xdr:col>
      <xdr:colOff>95207</xdr:colOff>
      <xdr:row>39</xdr:row>
      <xdr:rowOff>43377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752557" y="5194079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55033</xdr:colOff>
      <xdr:row>41</xdr:row>
      <xdr:rowOff>118143</xdr:rowOff>
    </xdr:from>
    <xdr:to>
      <xdr:col>18</xdr:col>
      <xdr:colOff>85682</xdr:colOff>
      <xdr:row>44</xdr:row>
      <xdr:rowOff>91604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59908" y="5857908"/>
          <a:ext cx="792649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41</xdr:row>
      <xdr:rowOff>118143</xdr:rowOff>
    </xdr:from>
    <xdr:to>
      <xdr:col>27</xdr:col>
      <xdr:colOff>21174</xdr:colOff>
      <xdr:row>44</xdr:row>
      <xdr:rowOff>91604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752557" y="5857908"/>
          <a:ext cx="792742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8192</xdr:colOff>
      <xdr:row>25</xdr:row>
      <xdr:rowOff>25400</xdr:rowOff>
    </xdr:from>
    <xdr:to>
      <xdr:col>25</xdr:col>
      <xdr:colOff>67922</xdr:colOff>
      <xdr:row>27</xdr:row>
      <xdr:rowOff>100165</xdr:rowOff>
    </xdr:to>
    <xdr:sp macro="" textlink="">
      <xdr:nvSpPr>
        <xdr:cNvPr id="3" name="Event 3"/>
        <xdr:cNvSpPr/>
      </xdr:nvSpPr>
      <xdr:spPr>
        <a:xfrm>
          <a:off x="1103567" y="3509644"/>
          <a:ext cx="1297979" cy="3567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82494</xdr:colOff>
      <xdr:row>29</xdr:row>
      <xdr:rowOff>125348</xdr:rowOff>
    </xdr:from>
    <xdr:to>
      <xdr:col>24</xdr:col>
      <xdr:colOff>88870</xdr:colOff>
      <xdr:row>32</xdr:row>
      <xdr:rowOff>59144</xdr:rowOff>
    </xdr:to>
    <xdr:sp macro="" textlink="">
      <xdr:nvSpPr>
        <xdr:cNvPr id="4" name="Process 4"/>
        <xdr:cNvSpPr/>
      </xdr:nvSpPr>
      <xdr:spPr>
        <a:xfrm>
          <a:off x="1177869" y="4173473"/>
          <a:ext cx="1149376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13</xdr:col>
      <xdr:colOff>46707</xdr:colOff>
      <xdr:row>34</xdr:row>
      <xdr:rowOff>84399</xdr:rowOff>
    </xdr:from>
    <xdr:to>
      <xdr:col>24</xdr:col>
      <xdr:colOff>29407</xdr:colOff>
      <xdr:row>37</xdr:row>
      <xdr:rowOff>18194</xdr:rowOff>
    </xdr:to>
    <xdr:sp macro="" textlink="">
      <xdr:nvSpPr>
        <xdr:cNvPr id="5" name="Process 5"/>
        <xdr:cNvSpPr/>
      </xdr:nvSpPr>
      <xdr:spPr>
        <a:xfrm>
          <a:off x="1237332" y="4837374"/>
          <a:ext cx="1030450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78651</xdr:colOff>
      <xdr:row>39</xdr:row>
      <xdr:rowOff>43377</xdr:rowOff>
    </xdr:from>
    <xdr:to>
      <xdr:col>25</xdr:col>
      <xdr:colOff>92713</xdr:colOff>
      <xdr:row>41</xdr:row>
      <xdr:rowOff>118143</xdr:rowOff>
    </xdr:to>
    <xdr:sp macro="" textlink="">
      <xdr:nvSpPr>
        <xdr:cNvPr id="6" name="Process 6"/>
        <xdr:cNvSpPr/>
      </xdr:nvSpPr>
      <xdr:spPr>
        <a:xfrm>
          <a:off x="1078776" y="5501202"/>
          <a:ext cx="1347561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38085</xdr:colOff>
      <xdr:row>44</xdr:row>
      <xdr:rowOff>91604</xdr:rowOff>
    </xdr:from>
    <xdr:to>
      <xdr:col>17</xdr:col>
      <xdr:colOff>71980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0" y="6254279"/>
          <a:ext cx="1367394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20</xdr:col>
      <xdr:colOff>38934</xdr:colOff>
      <xdr:row>44</xdr:row>
      <xdr:rowOff>91604</xdr:rowOff>
    </xdr:from>
    <xdr:to>
      <xdr:col>34</xdr:col>
      <xdr:colOff>3414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96309" y="6254279"/>
          <a:ext cx="1297979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10</xdr:col>
      <xdr:colOff>52963</xdr:colOff>
      <xdr:row>42</xdr:row>
      <xdr:rowOff>32423</xdr:rowOff>
    </xdr:from>
    <xdr:to>
      <xdr:col>13</xdr:col>
      <xdr:colOff>32389</xdr:colOff>
      <xdr:row>43</xdr:row>
      <xdr:rowOff>56553</xdr:rowOff>
    </xdr:to>
    <xdr:sp macro="" textlink="">
      <xdr:nvSpPr>
        <xdr:cNvPr id="13" name="Label 13"/>
        <xdr:cNvSpPr txBox="1"/>
      </xdr:nvSpPr>
      <xdr:spPr>
        <a:xfrm>
          <a:off x="957838" y="591315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period, and parts that became Inactive (CROSSDOCK_FLAG 'N', so AP POLE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changes their status to inactive). Source: Part List (TB_M_PART_CANDIDATE) and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per 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file by SFTP, Option #3 of 'NSP Cross Dock Interfacing Data':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NSP Send IF -&gt; TMMIN SFTP -&gt; TMA SFTP -&gt; receive IF (TMA) -&gt; AP POLE master. SFTP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details, file format and the AP POLE tables are not detailed in this document.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 part is sent as one complete set; AP POLE replaces the data of the part, so a change such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as Philippines up and Thailand down, or a removed destination, arrives as one consistent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update.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The send status per part is kept in TB_R_CROSSDOCK_IF_RESULT (dummy table);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together with XD06 (GTOPAS) it gives the overall Sync Status shown on the Cross Dock Part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Master screen (XD01).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6" t="inlineStr">
        <is>
          <t>2.</t>
        </is>
      </c>
      <c r="D24" s="941" t="n"/>
      <c r="E24" s="946" t="inlineStr">
        <is>
          <t>OPERATION FLOW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 (not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in NSP scope)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n"/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e.</t>
        </is>
      </c>
      <c r="BD50" s="997" t="n"/>
      <c r="BE50" s="1003" t="inlineStr">
        <is>
          <t>Execution Schedule</t>
        </is>
      </c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1000" t="inlineStr">
        <is>
          <t>No</t>
        </is>
      </c>
      <c r="BD51" s="1001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1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6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4" t="n">
        <v>1</v>
      </c>
      <c r="E52" s="1005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5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5" t="inlineStr">
        <is>
          <t>CHAR(14)</t>
        </is>
      </c>
      <c r="AA52" s="957" t="n"/>
      <c r="AB52" s="957" t="n"/>
      <c r="AC52" s="957" t="n"/>
      <c r="AD52" s="957" t="n"/>
      <c r="AE52" s="955" t="n"/>
      <c r="AF52" s="1006" t="inlineStr">
        <is>
          <t>Y</t>
        </is>
      </c>
      <c r="AG52" s="1005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90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7" t="n"/>
      <c r="E53" s="1008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8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8" t="n"/>
      <c r="AA53" s="962" t="n"/>
      <c r="AB53" s="962" t="n"/>
      <c r="AC53" s="962" t="n"/>
      <c r="AD53" s="962" t="n"/>
      <c r="AE53" s="960" t="n"/>
      <c r="AF53" s="1009" t="n"/>
      <c r="AG53" s="1008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4" t="n">
        <v>1</v>
      </c>
      <c r="BD53" s="1005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5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5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7" t="n"/>
      <c r="E54" s="1008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8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8" t="n"/>
      <c r="AA54" s="962" t="n"/>
      <c r="AB54" s="962" t="n"/>
      <c r="AC54" s="962" t="n"/>
      <c r="AD54" s="962" t="n"/>
      <c r="AE54" s="960" t="n"/>
      <c r="AF54" s="1009" t="n"/>
      <c r="AG54" s="1008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7" t="n"/>
      <c r="BD54" s="1008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08" t="inlineStr">
        <is>
          <t>XD07 and XD06.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0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7" t="n"/>
      <c r="E55" s="1008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8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8" t="n"/>
      <c r="AA55" s="962" t="n"/>
      <c r="AB55" s="962" t="n"/>
      <c r="AC55" s="962" t="n"/>
      <c r="AD55" s="962" t="n"/>
      <c r="AE55" s="960" t="n"/>
      <c r="AF55" s="1009" t="n"/>
      <c r="AG55" s="1008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4" t="n">
        <v>2</v>
      </c>
      <c r="BD55" s="1005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5" t="inlineStr">
        <is>
          <t>interface file by SFTP, Option #3 of 'NSP Cross Dock Interfacing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5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7" t="n"/>
      <c r="E56" s="1008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8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8" t="n"/>
      <c r="AA56" s="962" t="n"/>
      <c r="AB56" s="962" t="n"/>
      <c r="AC56" s="962" t="n"/>
      <c r="AD56" s="962" t="n"/>
      <c r="AE56" s="960" t="n"/>
      <c r="AF56" s="1009" t="n"/>
      <c r="AG56" s="1008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7" t="n"/>
      <c r="BD56" s="1008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08" t="inlineStr">
        <is>
          <t>Data': NSP Send IF -&gt; TMMIN SFTP -&gt; TMA SFTP -&gt; receive IF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0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4" t="n">
        <v>2</v>
      </c>
      <c r="E57" s="1005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5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5" t="inlineStr">
        <is>
          <t>VARCHAR</t>
        </is>
      </c>
      <c r="AA57" s="957" t="n"/>
      <c r="AB57" s="957" t="n"/>
      <c r="AC57" s="957" t="n"/>
      <c r="AD57" s="957" t="n"/>
      <c r="AE57" s="955" t="n"/>
      <c r="AF57" s="1006" t="inlineStr">
        <is>
          <t>Y</t>
        </is>
      </c>
      <c r="AG57" s="1005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7" t="n"/>
      <c r="BD57" s="1008" t="n"/>
      <c r="BE57" s="962" t="n"/>
      <c r="BF57" s="962" t="n"/>
      <c r="BG57" s="962" t="n"/>
      <c r="BH57" s="962" t="n"/>
      <c r="BI57" s="962" t="n"/>
      <c r="BJ57" s="962" t="n"/>
      <c r="BK57" s="962" t="n"/>
      <c r="BL57" s="962" t="n"/>
      <c r="BM57" s="962" t="n"/>
      <c r="BN57" s="960" t="n"/>
      <c r="BO57" s="1008" t="inlineStr">
        <is>
          <t>(TMA) -&gt; AP POLE master. SFTP details, file format and the AP</t>
        </is>
      </c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2" t="n"/>
      <c r="BY57" s="962" t="n"/>
      <c r="BZ57" s="962" t="n"/>
      <c r="CA57" s="962" t="n"/>
      <c r="CB57" s="962" t="n"/>
      <c r="CC57" s="962" t="n"/>
      <c r="CD57" s="962" t="n"/>
      <c r="CE57" s="962" t="n"/>
      <c r="CF57" s="962" t="n"/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2" t="n"/>
      <c r="CU57" s="960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7" t="n"/>
      <c r="E58" s="1008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8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8" t="inlineStr">
        <is>
          <t>(TBD)</t>
        </is>
      </c>
      <c r="AA58" s="962" t="n"/>
      <c r="AB58" s="962" t="n"/>
      <c r="AC58" s="962" t="n"/>
      <c r="AD58" s="962" t="n"/>
      <c r="AE58" s="960" t="n"/>
      <c r="AF58" s="1009" t="n"/>
      <c r="AG58" s="1008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7" t="n"/>
      <c r="BD58" s="1008" t="n"/>
      <c r="BE58" s="962" t="n"/>
      <c r="BF58" s="962" t="n"/>
      <c r="BG58" s="962" t="n"/>
      <c r="BH58" s="962" t="n"/>
      <c r="BI58" s="962" t="n"/>
      <c r="BJ58" s="962" t="n"/>
      <c r="BK58" s="962" t="n"/>
      <c r="BL58" s="962" t="n"/>
      <c r="BM58" s="962" t="n"/>
      <c r="BN58" s="960" t="n"/>
      <c r="BO58" s="1008" t="inlineStr">
        <is>
          <t>POLE tables are not detailed in this document.</t>
        </is>
      </c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2" t="n"/>
      <c r="BY58" s="962" t="n"/>
      <c r="BZ58" s="962" t="n"/>
      <c r="CA58" s="962" t="n"/>
      <c r="CB58" s="962" t="n"/>
      <c r="CC58" s="962" t="n"/>
      <c r="CD58" s="962" t="n"/>
      <c r="CE58" s="962" t="n"/>
      <c r="CF58" s="962" t="n"/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2" t="n"/>
      <c r="CU58" s="960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7" t="n"/>
      <c r="E59" s="1008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8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8" t="n"/>
      <c r="AA59" s="962" t="n"/>
      <c r="AB59" s="962" t="n"/>
      <c r="AC59" s="962" t="n"/>
      <c r="AD59" s="962" t="n"/>
      <c r="AE59" s="960" t="n"/>
      <c r="AF59" s="1009" t="n"/>
      <c r="AG59" s="1008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10" t="n">
        <v>3</v>
      </c>
      <c r="BD59" s="1011" t="inlineStr">
        <is>
          <t>Order</t>
        </is>
      </c>
      <c r="BE59" s="982" t="n"/>
      <c r="BF59" s="982" t="n"/>
      <c r="BG59" s="982" t="n"/>
      <c r="BH59" s="982" t="n"/>
      <c r="BI59" s="982" t="n"/>
      <c r="BJ59" s="982" t="n"/>
      <c r="BK59" s="982" t="n"/>
      <c r="BL59" s="982" t="n"/>
      <c r="BM59" s="982" t="n"/>
      <c r="BN59" s="980" t="n"/>
      <c r="BO59" s="1011" t="inlineStr">
        <is>
          <t>Independent of XD06; both run after [Sync].</t>
        </is>
      </c>
      <c r="BP59" s="982" t="n"/>
      <c r="BQ59" s="982" t="n"/>
      <c r="BR59" s="982" t="n"/>
      <c r="BS59" s="982" t="n"/>
      <c r="BT59" s="982" t="n"/>
      <c r="BU59" s="982" t="n"/>
      <c r="BV59" s="982" t="n"/>
      <c r="BW59" s="982" t="n"/>
      <c r="BX59" s="982" t="n"/>
      <c r="BY59" s="982" t="n"/>
      <c r="BZ59" s="982" t="n"/>
      <c r="CA59" s="982" t="n"/>
      <c r="CB59" s="982" t="n"/>
      <c r="CC59" s="982" t="n"/>
      <c r="CD59" s="982" t="n"/>
      <c r="CE59" s="982" t="n"/>
      <c r="CF59" s="982" t="n"/>
      <c r="CG59" s="982" t="n"/>
      <c r="CH59" s="982" t="n"/>
      <c r="CI59" s="982" t="n"/>
      <c r="CJ59" s="982" t="n"/>
      <c r="CK59" s="982" t="n"/>
      <c r="CL59" s="982" t="n"/>
      <c r="CM59" s="982" t="n"/>
      <c r="CN59" s="982" t="n"/>
      <c r="CO59" s="982" t="n"/>
      <c r="CP59" s="982" t="n"/>
      <c r="CQ59" s="982" t="n"/>
      <c r="CR59" s="982" t="n"/>
      <c r="CS59" s="982" t="n"/>
      <c r="CT59" s="982" t="n"/>
      <c r="CU59" s="980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7" t="n"/>
      <c r="E60" s="1008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8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8" t="n"/>
      <c r="AA60" s="962" t="n"/>
      <c r="AB60" s="962" t="n"/>
      <c r="AC60" s="962" t="n"/>
      <c r="AD60" s="962" t="n"/>
      <c r="AE60" s="960" t="n"/>
      <c r="AF60" s="1009" t="n"/>
      <c r="AG60" s="1008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7" t="n"/>
      <c r="CD60" s="997" t="n"/>
      <c r="CE60" s="997" t="n"/>
      <c r="CF60" s="997" t="n"/>
      <c r="CG60" s="997" t="n"/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4" t="n">
        <v>3</v>
      </c>
      <c r="E61" s="1012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5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5" t="inlineStr">
        <is>
          <t>CHAR(1)</t>
        </is>
      </c>
      <c r="AA61" s="957" t="n"/>
      <c r="AB61" s="957" t="n"/>
      <c r="AC61" s="957" t="n"/>
      <c r="AD61" s="957" t="n"/>
      <c r="AE61" s="955" t="n"/>
      <c r="AF61" s="1006" t="inlineStr">
        <is>
          <t>Y</t>
        </is>
      </c>
      <c r="AG61" s="1005" t="inlineStr">
        <is>
          <t>'Y' = Active (handled by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7" t="n"/>
      <c r="E62" s="1013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8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8" t="n"/>
      <c r="AA62" s="962" t="n"/>
      <c r="AB62" s="962" t="n"/>
      <c r="AC62" s="962" t="n"/>
      <c r="AD62" s="962" t="n"/>
      <c r="AE62" s="960" t="n"/>
      <c r="AF62" s="1009" t="n"/>
      <c r="AG62" s="1008" t="inlineStr">
        <is>
          <t>crossdock) / 'N' = Inactive: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7" t="n"/>
      <c r="E63" s="1013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8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8" t="n"/>
      <c r="AA63" s="962" t="n"/>
      <c r="AB63" s="962" t="n"/>
      <c r="AC63" s="962" t="n"/>
      <c r="AD63" s="962" t="n"/>
      <c r="AE63" s="960" t="n"/>
      <c r="AF63" s="1009" t="n"/>
      <c r="AG63" s="1008" t="inlineStr">
        <is>
          <t>the target changes the status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7" t="n"/>
      <c r="E64" s="1013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8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8" t="n"/>
      <c r="AA64" s="962" t="n"/>
      <c r="AB64" s="962" t="n"/>
      <c r="AC64" s="962" t="n"/>
      <c r="AD64" s="962" t="n"/>
      <c r="AE64" s="960" t="n"/>
      <c r="AF64" s="1009" t="n"/>
      <c r="AG64" s="1008" t="inlineStr">
        <is>
          <t>of the part to inactive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7" t="n"/>
      <c r="E65" s="1013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8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8" t="n"/>
      <c r="AA65" s="962" t="n"/>
      <c r="AB65" s="962" t="n"/>
      <c r="AC65" s="962" t="n"/>
      <c r="AD65" s="962" t="n"/>
      <c r="AE65" s="960" t="n"/>
      <c r="AF65" s="1009" t="n"/>
      <c r="AG65" s="1008" t="inlineStr">
        <is>
          <t>(decided 19-Oct)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4" t="n">
        <v>4</v>
      </c>
      <c r="E66" s="1005" t="inlineStr">
        <is>
          <t>PCS_CASE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5" t="n"/>
      <c r="N66" s="1005" t="inlineStr">
        <is>
          <t>TB_M_PART_</t>
        </is>
      </c>
      <c r="O66" s="957" t="n"/>
      <c r="P66" s="957" t="n"/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5" t="n"/>
      <c r="Z66" s="1005" t="inlineStr">
        <is>
          <t>NUMBER(</t>
        </is>
      </c>
      <c r="AA66" s="957" t="n"/>
      <c r="AB66" s="957" t="n"/>
      <c r="AC66" s="957" t="n"/>
      <c r="AD66" s="957" t="n"/>
      <c r="AE66" s="955" t="n"/>
      <c r="AF66" s="1006" t="inlineStr">
        <is>
          <t>Y</t>
        </is>
      </c>
      <c r="AG66" s="1005" t="inlineStr">
        <is>
          <t>Pieces per crossdock case;</t>
        </is>
      </c>
      <c r="AH66" s="957" t="n"/>
      <c r="AI66" s="957" t="n"/>
      <c r="AJ66" s="957" t="n"/>
      <c r="AK66" s="957" t="n"/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5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7" t="n"/>
      <c r="E67" s="1008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8" t="inlineStr">
        <is>
          <t>CANDIDATE.PCS_</t>
        </is>
      </c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8" t="inlineStr">
        <is>
          <t>TBD)</t>
        </is>
      </c>
      <c r="AA67" s="962" t="n"/>
      <c r="AB67" s="962" t="n"/>
      <c r="AC67" s="962" t="n"/>
      <c r="AD67" s="962" t="n"/>
      <c r="AE67" s="960" t="n"/>
      <c r="AF67" s="1009" t="n"/>
      <c r="AG67" s="1008" t="inlineStr">
        <is>
          <t>used to convert pieces to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7" t="n"/>
      <c r="E68" s="1008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8" t="inlineStr">
        <is>
          <t>CASE</t>
        </is>
      </c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8" t="n"/>
      <c r="AA68" s="962" t="n"/>
      <c r="AB68" s="962" t="n"/>
      <c r="AC68" s="962" t="n"/>
      <c r="AD68" s="962" t="n"/>
      <c r="AE68" s="960" t="n"/>
      <c r="AF68" s="1009" t="n"/>
      <c r="AG68" s="1008" t="inlineStr">
        <is>
          <t>cases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4" t="n">
        <v>5</v>
      </c>
      <c r="E69" s="1012" t="inlineStr">
        <is>
          <t>MAX_CASE_DAY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5" t="n"/>
      <c r="N69" s="1005" t="inlineStr">
        <is>
          <t>TB_M_PART_</t>
        </is>
      </c>
      <c r="O69" s="957" t="n"/>
      <c r="P69" s="957" t="n"/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5" t="n"/>
      <c r="Z69" s="1005" t="inlineStr">
        <is>
          <t>NUMBER(</t>
        </is>
      </c>
      <c r="AA69" s="957" t="n"/>
      <c r="AB69" s="957" t="n"/>
      <c r="AC69" s="957" t="n"/>
      <c r="AD69" s="957" t="n"/>
      <c r="AE69" s="955" t="n"/>
      <c r="AF69" s="1006" t="inlineStr">
        <is>
          <t>Y</t>
        </is>
      </c>
      <c r="AG69" s="1005" t="inlineStr">
        <is>
          <t>Maximum cases per day of</t>
        </is>
      </c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5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7" t="n"/>
      <c r="E70" s="1013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8" t="inlineStr">
        <is>
          <t>CANDIDATE.MAX_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8" t="inlineStr">
        <is>
          <t>TBD)</t>
        </is>
      </c>
      <c r="AA70" s="962" t="n"/>
      <c r="AB70" s="962" t="n"/>
      <c r="AC70" s="962" t="n"/>
      <c r="AD70" s="962" t="n"/>
      <c r="AE70" s="960" t="n"/>
      <c r="AF70" s="1009" t="n"/>
      <c r="AG70" s="1008" t="inlineStr">
        <is>
          <t>the part through crossdock (=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7" t="n"/>
      <c r="E71" s="1013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8" t="inlineStr">
        <is>
          <t>CASE_DAY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8" t="n"/>
      <c r="AA71" s="962" t="n"/>
      <c r="AB71" s="962" t="n"/>
      <c r="AC71" s="962" t="n"/>
      <c r="AD71" s="962" t="n"/>
      <c r="AE71" s="960" t="n"/>
      <c r="AF71" s="1009" t="n"/>
      <c r="AG71" s="1008" t="inlineStr">
        <is>
          <t>total Case/Day of its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7" t="n"/>
      <c r="E72" s="1013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8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8" t="n"/>
      <c r="AA72" s="962" t="n"/>
      <c r="AB72" s="962" t="n"/>
      <c r="AC72" s="962" t="n"/>
      <c r="AD72" s="962" t="n"/>
      <c r="AE72" s="960" t="n"/>
      <c r="AF72" s="1009" t="n"/>
      <c r="AG72" s="1008" t="inlineStr">
        <is>
          <t>destinations)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4" t="n">
        <v>6</v>
      </c>
      <c r="E73" s="1005" t="inlineStr">
        <is>
          <t>EFFECTIVE_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5" t="n"/>
      <c r="N73" s="1005" t="inlineStr">
        <is>
          <t>TB_M_PART_</t>
        </is>
      </c>
      <c r="O73" s="957" t="n"/>
      <c r="P73" s="957" t="n"/>
      <c r="Q73" s="957" t="n"/>
      <c r="R73" s="957" t="n"/>
      <c r="S73" s="957" t="n"/>
      <c r="T73" s="957" t="n"/>
      <c r="U73" s="957" t="n"/>
      <c r="V73" s="957" t="n"/>
      <c r="W73" s="957" t="n"/>
      <c r="X73" s="957" t="n"/>
      <c r="Y73" s="955" t="n"/>
      <c r="Z73" s="1005" t="inlineStr">
        <is>
          <t>DATE</t>
        </is>
      </c>
      <c r="AA73" s="957" t="n"/>
      <c r="AB73" s="957" t="n"/>
      <c r="AC73" s="957" t="n"/>
      <c r="AD73" s="957" t="n"/>
      <c r="AE73" s="955" t="n"/>
      <c r="AF73" s="1006" t="inlineStr">
        <is>
          <t>Y</t>
        </is>
      </c>
      <c r="AG73" s="1005" t="inlineStr">
        <is>
          <t>Date from which the cross</t>
        </is>
      </c>
      <c r="AH73" s="957" t="n"/>
      <c r="AI73" s="957" t="n"/>
      <c r="AJ73" s="957" t="n"/>
      <c r="AK73" s="957" t="n"/>
      <c r="AL73" s="957" t="n"/>
      <c r="AM73" s="957" t="n"/>
      <c r="AN73" s="957" t="n"/>
      <c r="AO73" s="957" t="n"/>
      <c r="AP73" s="957" t="n"/>
      <c r="AQ73" s="957" t="n"/>
      <c r="AR73" s="957" t="n"/>
      <c r="AS73" s="957" t="n"/>
      <c r="AT73" s="957" t="n"/>
      <c r="AU73" s="955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7" t="n"/>
      <c r="E74" s="1008" t="inlineStr">
        <is>
          <t>START_DATE</t>
        </is>
      </c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8" t="inlineStr">
        <is>
          <t>CANDIDATE.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8" t="inlineStr">
        <is>
          <t>(YYYYMM</t>
        </is>
      </c>
      <c r="AA74" s="962" t="n"/>
      <c r="AB74" s="962" t="n"/>
      <c r="AC74" s="962" t="n"/>
      <c r="AD74" s="962" t="n"/>
      <c r="AE74" s="960" t="n"/>
      <c r="AF74" s="1009" t="n"/>
      <c r="AG74" s="1008" t="inlineStr">
        <is>
          <t>dock setting of the part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8" t="inlineStr">
        <is>
          <t>EFFECTIVE_START_</t>
        </is>
      </c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8" t="inlineStr">
        <is>
          <t>DD)</t>
        </is>
      </c>
      <c r="AA75" s="962" t="n"/>
      <c r="AB75" s="962" t="n"/>
      <c r="AC75" s="962" t="n"/>
      <c r="AD75" s="962" t="n"/>
      <c r="AE75" s="960" t="n"/>
      <c r="AF75" s="1009" t="n"/>
      <c r="AG75" s="1008" t="inlineStr">
        <is>
          <t>applies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7" t="n"/>
      <c r="E76" s="1008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8" t="inlineStr">
        <is>
          <t>DATE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8" t="n"/>
      <c r="AA76" s="962" t="n"/>
      <c r="AB76" s="962" t="n"/>
      <c r="AC76" s="962" t="n"/>
      <c r="AD76" s="962" t="n"/>
      <c r="AE76" s="960" t="n"/>
      <c r="AF76" s="1009" t="n"/>
      <c r="AG76" s="1008" t="n"/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4" t="n">
        <v>7</v>
      </c>
      <c r="E77" s="1005" t="inlineStr">
        <is>
          <t>PERIOD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5" t="n"/>
      <c r="N77" s="1005" t="inlineStr">
        <is>
          <t>TB_M_PART_</t>
        </is>
      </c>
      <c r="O77" s="957" t="n"/>
      <c r="P77" s="957" t="n"/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5" t="n"/>
      <c r="Z77" s="1005" t="inlineStr">
        <is>
          <t>CHAR(6)</t>
        </is>
      </c>
      <c r="AA77" s="957" t="n"/>
      <c r="AB77" s="957" t="n"/>
      <c r="AC77" s="957" t="n"/>
      <c r="AD77" s="957" t="n"/>
      <c r="AE77" s="955" t="n"/>
      <c r="AF77" s="1006" t="inlineStr">
        <is>
          <t>Y</t>
        </is>
      </c>
      <c r="AG77" s="1005" t="inlineStr">
        <is>
          <t>Calculation period of the</t>
        </is>
      </c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5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7" t="n"/>
      <c r="E78" s="1008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8" t="inlineStr">
        <is>
          <t>CANDIDATE_DEST.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8" t="n"/>
      <c r="AA78" s="962" t="n"/>
      <c r="AB78" s="962" t="n"/>
      <c r="AC78" s="962" t="n"/>
      <c r="AD78" s="962" t="n"/>
      <c r="AE78" s="960" t="n"/>
      <c r="AF78" s="1009" t="n"/>
      <c r="AG78" s="1008" t="inlineStr">
        <is>
          <t>mapping (ongoing period,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7" t="n"/>
      <c r="E79" s="1008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8" t="inlineStr">
        <is>
          <t>PERIOD</t>
        </is>
      </c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8" t="n"/>
      <c r="AA79" s="962" t="n"/>
      <c r="AB79" s="962" t="n"/>
      <c r="AC79" s="962" t="n"/>
      <c r="AD79" s="962" t="n"/>
      <c r="AE79" s="960" t="n"/>
      <c r="AF79" s="1009" t="n"/>
      <c r="AG79" s="1008" t="inlineStr">
        <is>
          <t>YYYYMM)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4" t="n">
        <v>8</v>
      </c>
      <c r="E80" s="1005" t="inlineStr">
        <is>
          <t>DEST_CODE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5" t="inlineStr">
        <is>
          <t>TB_M_PART_</t>
        </is>
      </c>
      <c r="O80" s="957" t="n"/>
      <c r="P80" s="957" t="n"/>
      <c r="Q80" s="957" t="n"/>
      <c r="R80" s="957" t="n"/>
      <c r="S80" s="957" t="n"/>
      <c r="T80" s="957" t="n"/>
      <c r="U80" s="957" t="n"/>
      <c r="V80" s="957" t="n"/>
      <c r="W80" s="957" t="n"/>
      <c r="X80" s="957" t="n"/>
      <c r="Y80" s="955" t="n"/>
      <c r="Z80" s="1005" t="inlineStr">
        <is>
          <t>CHAR(7)</t>
        </is>
      </c>
      <c r="AA80" s="957" t="n"/>
      <c r="AB80" s="957" t="n"/>
      <c r="AC80" s="957" t="n"/>
      <c r="AD80" s="957" t="n"/>
      <c r="AE80" s="955" t="n"/>
      <c r="AF80" s="1006" t="inlineStr">
        <is>
          <t>Y</t>
        </is>
      </c>
      <c r="AG80" s="1005" t="inlineStr">
        <is>
          <t>Destination code (buyer code</t>
        </is>
      </c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5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7" t="n"/>
      <c r="E81" s="1008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8" t="inlineStr">
        <is>
          <t>CANDIDATE_DEST.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8" t="n"/>
      <c r="AA81" s="962" t="n"/>
      <c r="AB81" s="962" t="n"/>
      <c r="AC81" s="962" t="n"/>
      <c r="AD81" s="962" t="n"/>
      <c r="AE81" s="960" t="n"/>
      <c r="AF81" s="1009" t="n"/>
      <c r="AG81" s="1008" t="inlineStr">
        <is>
          <t>+ PD code,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7" t="n"/>
      <c r="E82" s="1008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8" t="inlineStr">
        <is>
          <t>DEST_CODE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8" t="n"/>
      <c r="AA82" s="962" t="n"/>
      <c r="AB82" s="962" t="n"/>
      <c r="AC82" s="962" t="n"/>
      <c r="AD82" s="962" t="n"/>
      <c r="AE82" s="960" t="n"/>
      <c r="AF82" s="1009" t="n"/>
      <c r="AG82" s="1008" t="inlineStr">
        <is>
          <t>TB_M_H0125_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7" t="n"/>
      <c r="E83" s="1008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8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8" t="n"/>
      <c r="AA83" s="962" t="n"/>
      <c r="AB83" s="962" t="n"/>
      <c r="AC83" s="962" t="n"/>
      <c r="AD83" s="962" t="n"/>
      <c r="AE83" s="960" t="n"/>
      <c r="AF83" s="1009" t="n"/>
      <c r="AG83" s="1008" t="inlineStr">
        <is>
          <t>DESTINATION); one record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7" t="n"/>
      <c r="E84" s="1008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8" t="n"/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8" t="n"/>
      <c r="AA84" s="962" t="n"/>
      <c r="AB84" s="962" t="n"/>
      <c r="AC84" s="962" t="n"/>
      <c r="AD84" s="962" t="n"/>
      <c r="AE84" s="960" t="n"/>
      <c r="AF84" s="1009" t="n"/>
      <c r="AG84" s="1008" t="inlineStr">
        <is>
          <t>per destination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4" t="n">
        <v>9</v>
      </c>
      <c r="E85" s="1005" t="inlineStr">
        <is>
          <t>CASE_DAY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5" t="n"/>
      <c r="N85" s="1005" t="inlineStr">
        <is>
          <t>TB_M_PART_</t>
        </is>
      </c>
      <c r="O85" s="957" t="n"/>
      <c r="P85" s="957" t="n"/>
      <c r="Q85" s="957" t="n"/>
      <c r="R85" s="957" t="n"/>
      <c r="S85" s="957" t="n"/>
      <c r="T85" s="957" t="n"/>
      <c r="U85" s="957" t="n"/>
      <c r="V85" s="957" t="n"/>
      <c r="W85" s="957" t="n"/>
      <c r="X85" s="957" t="n"/>
      <c r="Y85" s="955" t="n"/>
      <c r="Z85" s="1005" t="inlineStr">
        <is>
          <t>NUMBER(</t>
        </is>
      </c>
      <c r="AA85" s="957" t="n"/>
      <c r="AB85" s="957" t="n"/>
      <c r="AC85" s="957" t="n"/>
      <c r="AD85" s="957" t="n"/>
      <c r="AE85" s="955" t="n"/>
      <c r="AF85" s="1006" t="inlineStr">
        <is>
          <t>Y</t>
        </is>
      </c>
      <c r="AG85" s="1005" t="inlineStr">
        <is>
          <t>Cases per day allocated to</t>
        </is>
      </c>
      <c r="AH85" s="957" t="n"/>
      <c r="AI85" s="957" t="n"/>
      <c r="AJ85" s="957" t="n"/>
      <c r="AK85" s="957" t="n"/>
      <c r="AL85" s="957" t="n"/>
      <c r="AM85" s="957" t="n"/>
      <c r="AN85" s="957" t="n"/>
      <c r="AO85" s="957" t="n"/>
      <c r="AP85" s="957" t="n"/>
      <c r="AQ85" s="957" t="n"/>
      <c r="AR85" s="957" t="n"/>
      <c r="AS85" s="957" t="n"/>
      <c r="AT85" s="957" t="n"/>
      <c r="AU85" s="955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7" t="n"/>
      <c r="E86" s="1008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8" t="inlineStr">
        <is>
          <t>CANDIDATE_DEST.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8" t="inlineStr">
        <is>
          <t>TBD)</t>
        </is>
      </c>
      <c r="AA86" s="962" t="n"/>
      <c r="AB86" s="962" t="n"/>
      <c r="AC86" s="962" t="n"/>
      <c r="AD86" s="962" t="n"/>
      <c r="AE86" s="960" t="n"/>
      <c r="AF86" s="1009" t="n"/>
      <c r="AG86" s="1008" t="inlineStr">
        <is>
          <t>the destination (minimum 1;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7" t="n"/>
      <c r="E87" s="1008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8" t="inlineStr">
        <is>
          <t>CASE_DAY</t>
        </is>
      </c>
      <c r="O87" s="962" t="n"/>
      <c r="P87" s="962" t="n"/>
      <c r="Q87" s="962" t="n"/>
      <c r="R87" s="962" t="n"/>
      <c r="S87" s="962" t="n"/>
      <c r="T87" s="962" t="n"/>
      <c r="U87" s="962" t="n"/>
      <c r="V87" s="962" t="n"/>
      <c r="W87" s="962" t="n"/>
      <c r="X87" s="962" t="n"/>
      <c r="Y87" s="960" t="n"/>
      <c r="Z87" s="1008" t="n"/>
      <c r="AA87" s="962" t="n"/>
      <c r="AB87" s="962" t="n"/>
      <c r="AC87" s="962" t="n"/>
      <c r="AD87" s="962" t="n"/>
      <c r="AE87" s="960" t="n"/>
      <c r="AF87" s="1009" t="n"/>
      <c r="AG87" s="1008" t="inlineStr">
        <is>
          <t>sum per part =</t>
        </is>
      </c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0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07" t="n"/>
      <c r="E88" s="1008" t="n"/>
      <c r="F88" s="962" t="n"/>
      <c r="G88" s="962" t="n"/>
      <c r="H88" s="962" t="n"/>
      <c r="I88" s="962" t="n"/>
      <c r="J88" s="962" t="n"/>
      <c r="K88" s="962" t="n"/>
      <c r="L88" s="962" t="n"/>
      <c r="M88" s="960" t="n"/>
      <c r="N88" s="1008" t="n"/>
      <c r="O88" s="962" t="n"/>
      <c r="P88" s="962" t="n"/>
      <c r="Q88" s="962" t="n"/>
      <c r="R88" s="962" t="n"/>
      <c r="S88" s="962" t="n"/>
      <c r="T88" s="962" t="n"/>
      <c r="U88" s="962" t="n"/>
      <c r="V88" s="962" t="n"/>
      <c r="W88" s="962" t="n"/>
      <c r="X88" s="962" t="n"/>
      <c r="Y88" s="960" t="n"/>
      <c r="Z88" s="1008" t="n"/>
      <c r="AA88" s="962" t="n"/>
      <c r="AB88" s="962" t="n"/>
      <c r="AC88" s="962" t="n"/>
      <c r="AD88" s="962" t="n"/>
      <c r="AE88" s="960" t="n"/>
      <c r="AF88" s="1009" t="n"/>
      <c r="AG88" s="1008" t="inlineStr">
        <is>
          <t>MAX_CASE_DAY)</t>
        </is>
      </c>
      <c r="AH88" s="962" t="n"/>
      <c r="AI88" s="962" t="n"/>
      <c r="AJ88" s="962" t="n"/>
      <c r="AK88" s="962" t="n"/>
      <c r="AL88" s="962" t="n"/>
      <c r="AM88" s="962" t="n"/>
      <c r="AN88" s="962" t="n"/>
      <c r="AO88" s="962" t="n"/>
      <c r="AP88" s="962" t="n"/>
      <c r="AQ88" s="962" t="n"/>
      <c r="AR88" s="962" t="n"/>
      <c r="AS88" s="962" t="n"/>
      <c r="AT88" s="962" t="n"/>
      <c r="AU88" s="960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1010" t="n">
        <v>10</v>
      </c>
      <c r="E89" s="1011" t="inlineStr">
        <is>
          <t>SEND_DT</t>
        </is>
      </c>
      <c r="F89" s="982" t="n"/>
      <c r="G89" s="982" t="n"/>
      <c r="H89" s="982" t="n"/>
      <c r="I89" s="982" t="n"/>
      <c r="J89" s="982" t="n"/>
      <c r="K89" s="982" t="n"/>
      <c r="L89" s="982" t="n"/>
      <c r="M89" s="980" t="n"/>
      <c r="N89" s="1011" t="inlineStr">
        <is>
          <t>Generated</t>
        </is>
      </c>
      <c r="O89" s="982" t="n"/>
      <c r="P89" s="982" t="n"/>
      <c r="Q89" s="982" t="n"/>
      <c r="R89" s="982" t="n"/>
      <c r="S89" s="982" t="n"/>
      <c r="T89" s="982" t="n"/>
      <c r="U89" s="982" t="n"/>
      <c r="V89" s="982" t="n"/>
      <c r="W89" s="982" t="n"/>
      <c r="X89" s="982" t="n"/>
      <c r="Y89" s="980" t="n"/>
      <c r="Z89" s="1011" t="inlineStr">
        <is>
          <t>DATETIME</t>
        </is>
      </c>
      <c r="AA89" s="982" t="n"/>
      <c r="AB89" s="982" t="n"/>
      <c r="AC89" s="982" t="n"/>
      <c r="AD89" s="982" t="n"/>
      <c r="AE89" s="980" t="n"/>
      <c r="AF89" s="1014" t="inlineStr">
        <is>
          <t>Y</t>
        </is>
      </c>
      <c r="AG89" s="1011" t="inlineStr">
        <is>
          <t>Date-time the file is created</t>
        </is>
      </c>
      <c r="AH89" s="982" t="n"/>
      <c r="AI89" s="982" t="n"/>
      <c r="AJ89" s="982" t="n"/>
      <c r="AK89" s="982" t="n"/>
      <c r="AL89" s="982" t="n"/>
      <c r="AM89" s="982" t="n"/>
      <c r="AN89" s="982" t="n"/>
      <c r="AO89" s="982" t="n"/>
      <c r="AP89" s="982" t="n"/>
      <c r="AQ89" s="982" t="n"/>
      <c r="AR89" s="982" t="n"/>
      <c r="AS89" s="982" t="n"/>
      <c r="AT89" s="982" t="n"/>
      <c r="AU89" s="980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7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30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AT3:BV3"/>
    <mergeCell ref="E75:M75"/>
    <mergeCell ref="BW12:CV12"/>
    <mergeCell ref="N70:Y70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N50:Y51"/>
    <mergeCell ref="BE31:BR31"/>
    <mergeCell ref="E83:M83"/>
    <mergeCell ref="BO55:CU55"/>
    <mergeCell ref="E84:M84"/>
    <mergeCell ref="E78:M78"/>
    <mergeCell ref="BC27:BD27"/>
    <mergeCell ref="BW22:CV22"/>
    <mergeCell ref="BE24:BR24"/>
    <mergeCell ref="BD40:BP40"/>
    <mergeCell ref="E86:M86"/>
    <mergeCell ref="Z67:AE67"/>
    <mergeCell ref="E80:M80"/>
    <mergeCell ref="BE26:BR26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E27:BR27"/>
    <mergeCell ref="Z77:AE77"/>
    <mergeCell ref="E87:M87"/>
    <mergeCell ref="Z72:AE72"/>
    <mergeCell ref="BC51:BC52"/>
    <mergeCell ref="AG53:AU53"/>
    <mergeCell ref="N67:Y67"/>
    <mergeCell ref="B6:CX6"/>
    <mergeCell ref="BW11:CV11"/>
    <mergeCell ref="Z88:AE88"/>
    <mergeCell ref="N69:Y69"/>
    <mergeCell ref="AG78:AU78"/>
    <mergeCell ref="BQ44:CU44"/>
    <mergeCell ref="BO53:CU53"/>
    <mergeCell ref="Z50:AE51"/>
    <mergeCell ref="BD39:BP39"/>
    <mergeCell ref="AG79:AU79"/>
    <mergeCell ref="AG73:AU73"/>
    <mergeCell ref="AI3:AS3"/>
    <mergeCell ref="Z85:AE85"/>
    <mergeCell ref="AG81:AU81"/>
    <mergeCell ref="BD54:BN54"/>
    <mergeCell ref="BE10:BR10"/>
    <mergeCell ref="BD56:BN56"/>
    <mergeCell ref="BC11:BD11"/>
    <mergeCell ref="CK3:CN3"/>
    <mergeCell ref="BS11:BV11"/>
    <mergeCell ref="BQ42:CU42"/>
    <mergeCell ref="CO3:CX3"/>
    <mergeCell ref="N82:Y82"/>
    <mergeCell ref="BS12:BV12"/>
    <mergeCell ref="Z63:AE63"/>
    <mergeCell ref="BS14:BV14"/>
    <mergeCell ref="AG67:AU67"/>
    <mergeCell ref="BC24:BD24"/>
    <mergeCell ref="BE21:BR21"/>
    <mergeCell ref="AG69:AU69"/>
    <mergeCell ref="BE23:BR23"/>
    <mergeCell ref="E52:M52"/>
    <mergeCell ref="CC3:CJ3"/>
    <mergeCell ref="BO59:CU59"/>
    <mergeCell ref="N72:Y72"/>
    <mergeCell ref="BS25:BV25"/>
    <mergeCell ref="N88:Y88"/>
    <mergeCell ref="BO56:CU56"/>
    <mergeCell ref="E70:M70"/>
    <mergeCell ref="BE16:BR16"/>
    <mergeCell ref="E57:M57"/>
    <mergeCell ref="BD57:BN57"/>
    <mergeCell ref="AI4:AS4"/>
    <mergeCell ref="BC12:BD12"/>
    <mergeCell ref="Z59:AE59"/>
    <mergeCell ref="BD51:BN52"/>
    <mergeCell ref="N83:Y83"/>
    <mergeCell ref="BC14:BD14"/>
    <mergeCell ref="BE11:BR11"/>
    <mergeCell ref="E58:M58"/>
    <mergeCell ref="BS20:BV20"/>
    <mergeCell ref="BC13:BD13"/>
    <mergeCell ref="N85:Y85"/>
    <mergeCell ref="Z54:AE54"/>
    <mergeCell ref="BS22:BV22"/>
    <mergeCell ref="B2:G2"/>
    <mergeCell ref="BS15:BV15"/>
    <mergeCell ref="BW20:CV20"/>
    <mergeCell ref="AG77:AU77"/>
    <mergeCell ref="E60:M60"/>
    <mergeCell ref="Z68:AE68"/>
    <mergeCell ref="B4:N4"/>
    <mergeCell ref="BC25:BD25"/>
    <mergeCell ref="BS33:BV33"/>
    <mergeCell ref="CC4:CJ4"/>
    <mergeCell ref="BW13:CV13"/>
    <mergeCell ref="N79:Y79"/>
    <mergeCell ref="AG88:AU88"/>
    <mergeCell ref="AG82:AU82"/>
    <mergeCell ref="BS10:BV10"/>
    <mergeCell ref="E71:M71"/>
    <mergeCell ref="BC20:BD20"/>
    <mergeCell ref="BW15:CV15"/>
    <mergeCell ref="Z61:AE61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BE20:BR20"/>
    <mergeCell ref="N59:Y59"/>
    <mergeCell ref="BQ36:CU37"/>
    <mergeCell ref="E76:M76"/>
    <mergeCell ref="BE22:BR22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E89:M89"/>
    <mergeCell ref="N57:Y57"/>
    <mergeCell ref="AG66:AU66"/>
    <mergeCell ref="Z78:AE78"/>
    <mergeCell ref="O4:AH4"/>
    <mergeCell ref="E72:M72"/>
    <mergeCell ref="AG74:AU74"/>
    <mergeCell ref="AG68:AU68"/>
    <mergeCell ref="Z80:AE80"/>
    <mergeCell ref="AF50:AF51"/>
    <mergeCell ref="Z55:AE55"/>
    <mergeCell ref="CK2:CN2"/>
    <mergeCell ref="E88:M88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AG62:AU62"/>
    <mergeCell ref="BW32:CV32"/>
    <mergeCell ref="Z84:AE84"/>
    <mergeCell ref="N65:Y65"/>
    <mergeCell ref="Z86:AE86"/>
    <mergeCell ref="BO54:CU54"/>
    <mergeCell ref="BD38:BP38"/>
    <mergeCell ref="N63:Y63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AG87:AU87"/>
    <mergeCell ref="BQ40:CU40"/>
    <mergeCell ref="N80:Y80"/>
    <mergeCell ref="Z74:AE74"/>
    <mergeCell ref="AT4:BV4"/>
    <mergeCell ref="AG89:AU89"/>
    <mergeCell ref="N55:Y55"/>
    <mergeCell ref="AG64:AU64"/>
    <mergeCell ref="Z76:AE76"/>
    <mergeCell ref="AG65:AU65"/>
    <mergeCell ref="N71:Y71"/>
    <mergeCell ref="O3:AH3"/>
    <mergeCell ref="N58:Y58"/>
    <mergeCell ref="N73:Y73"/>
    <mergeCell ref="BQ43:CU43"/>
    <mergeCell ref="BO57:CU57"/>
    <mergeCell ref="BD41:BP41"/>
    <mergeCell ref="BS28:BV28"/>
    <mergeCell ref="AG50:AU51"/>
    <mergeCell ref="Z87:AE87"/>
    <mergeCell ref="BD43:BP43"/>
    <mergeCell ref="AG83:AU83"/>
    <mergeCell ref="E66:M66"/>
    <mergeCell ref="Z89:AE89"/>
    <mergeCell ref="BE12:BR12"/>
    <mergeCell ref="E53:M53"/>
    <mergeCell ref="BD53:BN53"/>
    <mergeCell ref="N86:Y86"/>
    <mergeCell ref="E68:M68"/>
    <mergeCell ref="BE13:BR13"/>
    <mergeCell ref="BD55:BN55"/>
    <mergeCell ref="BC10:BD10"/>
    <mergeCell ref="Z57:AE57"/>
    <mergeCell ref="BS21:BV21"/>
    <mergeCell ref="BQ41:CU41"/>
    <mergeCell ref="AG72:AU72"/>
    <mergeCell ref="Z52:AE52"/>
    <mergeCell ref="BS16:BV16"/>
    <mergeCell ref="BW21:CV21"/>
    <mergeCell ref="CO2:CX2"/>
    <mergeCell ref="BD58:BN58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C23:BD23"/>
    <mergeCell ref="BO58:CU58"/>
    <mergeCell ref="BS29:BV29"/>
    <mergeCell ref="N76:Y76"/>
    <mergeCell ref="AG85:AU85"/>
    <mergeCell ref="AG84:AU84"/>
    <mergeCell ref="N77:Y77"/>
    <mergeCell ref="AG86:AU86"/>
    <mergeCell ref="AG80:AU80"/>
    <mergeCell ref="BD59:BN59"/>
    <mergeCell ref="E69:M69"/>
    <mergeCell ref="BE15:BR15"/>
    <mergeCell ref="AB2:CJ2"/>
    <mergeCell ref="BC16:BD16"/>
    <mergeCell ref="N87:Y87"/>
    <mergeCell ref="Z60:AE60"/>
    <mergeCell ref="BS24:BV24"/>
    <mergeCell ref="N89:Y89"/>
    <mergeCell ref="BS26:BV26"/>
    <mergeCell ref="BO51:CU52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2" t="n"/>
      <c r="BN8" s="102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3" t="n"/>
      <c r="CD8" s="941" t="n"/>
      <c r="CE8" s="948" t="inlineStr">
        <is>
          <t>1.</t>
        </is>
      </c>
      <c r="CF8" s="1022" t="n"/>
      <c r="CG8" s="1024" t="inlineStr">
        <is>
          <t>[Sync] on XD01 sets the parts to</t>
        </is>
      </c>
      <c r="CH8" s="1022" t="n"/>
      <c r="CI8" s="102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3" t="n"/>
      <c r="CY8" s="941" t="n"/>
    </row>
    <row r="9" ht="11.1" customHeight="1" s="710">
      <c r="A9" s="941" t="n"/>
      <c r="B9" s="102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2" t="n"/>
      <c r="BN9" s="102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3" t="n"/>
      <c r="CD9" s="941" t="n"/>
      <c r="CE9" s="941" t="n"/>
      <c r="CF9" s="1022" t="n"/>
      <c r="CG9" s="1024" t="inlineStr">
        <is>
          <t>Waiting (SYNC_STATUS = '3' in</t>
        </is>
      </c>
      <c r="CH9" s="1022" t="n"/>
      <c r="CI9" s="102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3" t="n"/>
      <c r="CY9" s="941" t="n"/>
    </row>
    <row r="10" ht="11.1" customHeight="1" s="710">
      <c r="A10" s="941" t="n"/>
      <c r="B10" s="1021" t="n"/>
      <c r="C10" s="1022" t="n"/>
      <c r="D10" s="1022" t="n"/>
      <c r="E10" s="1022" t="n"/>
      <c r="F10" s="1022" t="n"/>
      <c r="G10" s="1022" t="n"/>
      <c r="H10" s="1022" t="n"/>
      <c r="I10" s="1022" t="n"/>
      <c r="J10" s="1022" t="n"/>
      <c r="K10" s="1022" t="n"/>
      <c r="L10" s="1022" t="n"/>
      <c r="M10" s="1022" t="n"/>
      <c r="N10" s="1022" t="n"/>
      <c r="O10" s="1022" t="n"/>
      <c r="P10" s="1022" t="n"/>
      <c r="Q10" s="1022" t="n"/>
      <c r="R10" s="102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2" t="n"/>
      <c r="BN10" s="102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3" t="n"/>
      <c r="CD10" s="941" t="n"/>
      <c r="CE10" s="941" t="n"/>
      <c r="CF10" s="1022" t="n"/>
      <c r="CG10" s="1024" t="inlineStr">
        <is>
          <t>TB_M_PART_CANDIDATE,</t>
        </is>
      </c>
      <c r="CH10" s="1022" t="n"/>
      <c r="CI10" s="102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3" t="n"/>
      <c r="CY10" s="941" t="n"/>
    </row>
    <row r="11" ht="11.1" customHeight="1" s="710">
      <c r="A11" s="941" t="n"/>
      <c r="B11" s="1021" t="n"/>
      <c r="C11" s="1022" t="n"/>
      <c r="D11" s="1022" t="n"/>
      <c r="E11" s="1022" t="n"/>
      <c r="F11" s="1022" t="n"/>
      <c r="G11" s="1022" t="n"/>
      <c r="H11" s="1022" t="n"/>
      <c r="I11" s="1022" t="n"/>
      <c r="J11" s="1022" t="n"/>
      <c r="K11" s="1022" t="n"/>
      <c r="L11" s="1022" t="n"/>
      <c r="M11" s="1022" t="n"/>
      <c r="N11" s="1022" t="n"/>
      <c r="O11" s="1022" t="n"/>
      <c r="P11" s="1022" t="n"/>
      <c r="Q11" s="1022" t="n"/>
      <c r="R11" s="102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2" t="n"/>
      <c r="BN11" s="102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3" t="n"/>
      <c r="CD11" s="941" t="n"/>
      <c r="CE11" s="941" t="n"/>
      <c r="CF11" s="1022" t="n"/>
      <c r="CG11" s="1024" t="inlineStr">
        <is>
          <t>IF_STATUS = '3' for 'APPOLE'</t>
        </is>
      </c>
      <c r="CH11" s="1022" t="n"/>
      <c r="CI11" s="102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3" t="n"/>
      <c r="CY11" s="941" t="n"/>
    </row>
    <row r="12" ht="11.1" customHeight="1" s="710">
      <c r="A12" s="941" t="n"/>
      <c r="B12" s="1021" t="n"/>
      <c r="C12" s="1022" t="n"/>
      <c r="D12" s="1022" t="n"/>
      <c r="E12" s="1022" t="n"/>
      <c r="F12" s="1022" t="n"/>
      <c r="G12" s="1022" t="n"/>
      <c r="H12" s="1022" t="n"/>
      <c r="I12" s="1022" t="n"/>
      <c r="J12" s="1022" t="n"/>
      <c r="K12" s="1022" t="n"/>
      <c r="L12" s="1022" t="n"/>
      <c r="M12" s="1022" t="n"/>
      <c r="N12" s="1022" t="n"/>
      <c r="O12" s="1022" t="n"/>
      <c r="P12" s="1022" t="n"/>
      <c r="Q12" s="1022" t="n"/>
      <c r="R12" s="102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2" t="n"/>
      <c r="BN12" s="102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3" t="n"/>
      <c r="CD12" s="941" t="n"/>
      <c r="CE12" s="941" t="n"/>
      <c r="CF12" s="1022" t="n"/>
      <c r="CG12" s="1024" t="inlineStr">
        <is>
          <t>and 'GTOPAS' in</t>
        </is>
      </c>
      <c r="CH12" s="1022" t="n"/>
      <c r="CI12" s="102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3" t="n"/>
      <c r="CY12" s="941" t="n"/>
    </row>
    <row r="13" ht="11.1" customHeight="1" s="710">
      <c r="A13" s="941" t="n"/>
      <c r="B13" s="1021" t="n"/>
      <c r="C13" s="1022" t="n"/>
      <c r="D13" s="1022" t="n"/>
      <c r="E13" s="1022" t="n"/>
      <c r="F13" s="1022" t="n"/>
      <c r="G13" s="1022" t="n"/>
      <c r="H13" s="1022" t="n"/>
      <c r="I13" s="1022" t="n"/>
      <c r="J13" s="1022" t="n"/>
      <c r="K13" s="1022" t="n"/>
      <c r="L13" s="1022" t="n"/>
      <c r="M13" s="1022" t="n"/>
      <c r="N13" s="1022" t="n"/>
      <c r="O13" s="1022" t="n"/>
      <c r="P13" s="1022" t="n"/>
      <c r="Q13" s="1022" t="n"/>
      <c r="R13" s="102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2" t="n"/>
      <c r="BN13" s="102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3" t="n"/>
      <c r="CD13" s="941" t="n"/>
      <c r="CE13" s="941" t="n"/>
      <c r="CF13" s="1022" t="n"/>
      <c r="CG13" s="1024" t="inlineStr">
        <is>
          <t>TB_R_CROSSDOCK_IF_</t>
        </is>
      </c>
      <c r="CH13" s="1022" t="n"/>
      <c r="CI13" s="102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3" t="n"/>
      <c r="CY13" s="941" t="n"/>
    </row>
    <row r="14" ht="11.1" customHeight="1" s="710">
      <c r="A14" s="941" t="n"/>
      <c r="B14" s="1021" t="n"/>
      <c r="C14" s="1022" t="n"/>
      <c r="D14" s="1022" t="n"/>
      <c r="E14" s="1022" t="n"/>
      <c r="F14" s="1022" t="n"/>
      <c r="G14" s="1022" t="n"/>
      <c r="H14" s="1022" t="n"/>
      <c r="I14" s="1022" t="n"/>
      <c r="J14" s="1022" t="n"/>
      <c r="K14" s="1022" t="n"/>
      <c r="L14" s="1022" t="n"/>
      <c r="M14" s="1022" t="n"/>
      <c r="N14" s="1022" t="n"/>
      <c r="O14" s="1022" t="n"/>
      <c r="P14" s="1022" t="n"/>
      <c r="Q14" s="1022" t="n"/>
      <c r="R14" s="102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2" t="n"/>
      <c r="BN14" s="102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3" t="n"/>
      <c r="CD14" s="941" t="n"/>
      <c r="CE14" s="941" t="n"/>
      <c r="CF14" s="1022" t="n"/>
      <c r="CG14" s="1024" t="inlineStr">
        <is>
          <t>RESULT) and starts XD07. Write</t>
        </is>
      </c>
      <c r="CH14" s="1022" t="n"/>
      <c r="CI14" s="102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3" t="n"/>
      <c r="CY14" s="941" t="n"/>
    </row>
    <row r="15" ht="11.1" customHeight="1" s="710">
      <c r="A15" s="941" t="n"/>
      <c r="B15" s="1021" t="n"/>
      <c r="C15" s="1022" t="n"/>
      <c r="D15" s="1022" t="n"/>
      <c r="E15" s="1022" t="n"/>
      <c r="F15" s="1022" t="n"/>
      <c r="G15" s="1022" t="n"/>
      <c r="H15" s="1022" t="n"/>
      <c r="I15" s="1022" t="n"/>
      <c r="J15" s="1022" t="n"/>
      <c r="K15" s="1022" t="n"/>
      <c r="L15" s="1022" t="n"/>
      <c r="M15" s="1022" t="n"/>
      <c r="N15" s="1022" t="n"/>
      <c r="O15" s="1022" t="n"/>
      <c r="P15" s="1022" t="n"/>
      <c r="Q15" s="1022" t="n"/>
      <c r="R15" s="102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2" t="n"/>
      <c r="BN15" s="102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3" t="n"/>
      <c r="CD15" s="941" t="n"/>
      <c r="CE15" s="941" t="n"/>
      <c r="CF15" s="1022" t="n"/>
      <c r="CG15" s="1024" t="inlineStr">
        <is>
          <t>LOG1.</t>
        </is>
      </c>
      <c r="CH15" s="1022" t="n"/>
      <c r="CI15" s="102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3" t="n"/>
      <c r="CY15" s="941" t="n"/>
    </row>
    <row r="16" ht="11.1" customHeight="1" s="710">
      <c r="A16" s="941" t="n"/>
      <c r="B16" s="1021" t="n"/>
      <c r="C16" s="1022" t="n"/>
      <c r="D16" s="1022" t="n"/>
      <c r="E16" s="1022" t="n"/>
      <c r="F16" s="1022" t="n"/>
      <c r="G16" s="1022" t="n"/>
      <c r="H16" s="1022" t="n"/>
      <c r="I16" s="1022" t="n"/>
      <c r="J16" s="1022" t="n"/>
      <c r="K16" s="1022" t="n"/>
      <c r="L16" s="1022" t="n"/>
      <c r="M16" s="1022" t="n"/>
      <c r="N16" s="1022" t="n"/>
      <c r="O16" s="1022" t="n"/>
      <c r="P16" s="1022" t="n"/>
      <c r="Q16" s="1022" t="n"/>
      <c r="R16" s="102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2" t="n"/>
      <c r="BN16" s="102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3" t="n"/>
      <c r="CD16" s="941" t="n"/>
      <c r="CE16" s="948" t="inlineStr">
        <is>
          <t>2.</t>
        </is>
      </c>
      <c r="CF16" s="1022" t="n"/>
      <c r="CG16" s="1024" t="inlineStr">
        <is>
          <t>Select the parts with</t>
        </is>
      </c>
      <c r="CH16" s="1022" t="n"/>
      <c r="CI16" s="102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3" t="n"/>
      <c r="CY16" s="941" t="n"/>
    </row>
    <row r="17" ht="11.1" customHeight="1" s="710">
      <c r="A17" s="941" t="n"/>
      <c r="B17" s="1021" t="n"/>
      <c r="C17" s="1022" t="n"/>
      <c r="D17" s="1022" t="n"/>
      <c r="E17" s="1022" t="n"/>
      <c r="F17" s="1022" t="n"/>
      <c r="G17" s="1022" t="n"/>
      <c r="H17" s="1022" t="n"/>
      <c r="I17" s="1022" t="n"/>
      <c r="J17" s="1022" t="n"/>
      <c r="K17" s="1022" t="n"/>
      <c r="L17" s="1022" t="n"/>
      <c r="M17" s="1022" t="n"/>
      <c r="N17" s="1022" t="n"/>
      <c r="O17" s="1022" t="n"/>
      <c r="P17" s="1022" t="n"/>
      <c r="Q17" s="1022" t="n"/>
      <c r="R17" s="102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2" t="n"/>
      <c r="BN17" s="102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3" t="n"/>
      <c r="CD17" s="941" t="n"/>
      <c r="CE17" s="941" t="n"/>
      <c r="CF17" s="1022" t="n"/>
      <c r="CG17" s="1024" t="inlineStr">
        <is>
          <t>TARGET_SYSTEM = 'APPOLE'</t>
        </is>
      </c>
      <c r="CH17" s="1022" t="n"/>
      <c r="CI17" s="102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3" t="n"/>
      <c r="CY17" s="941" t="n"/>
    </row>
    <row r="18" ht="11.1" customHeight="1" s="710">
      <c r="A18" s="941" t="n"/>
      <c r="B18" s="1021" t="n"/>
      <c r="C18" s="1022" t="n"/>
      <c r="D18" s="1022" t="n"/>
      <c r="E18" s="1022" t="n"/>
      <c r="F18" s="1022" t="n"/>
      <c r="G18" s="1022" t="n"/>
      <c r="H18" s="1022" t="n"/>
      <c r="I18" s="1022" t="n"/>
      <c r="J18" s="1022" t="n"/>
      <c r="K18" s="1022" t="n"/>
      <c r="L18" s="1022" t="n"/>
      <c r="M18" s="1022" t="n"/>
      <c r="N18" s="1022" t="n"/>
      <c r="O18" s="1022" t="n"/>
      <c r="P18" s="1022" t="n"/>
      <c r="Q18" s="1022" t="n"/>
      <c r="R18" s="102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2" t="n"/>
      <c r="BN18" s="102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3" t="n"/>
      <c r="CD18" s="941" t="n"/>
      <c r="CE18" s="941" t="n"/>
      <c r="CF18" s="1022" t="n"/>
      <c r="CG18" s="1024" t="inlineStr">
        <is>
          <t>and IF_STATUS = '3' in</t>
        </is>
      </c>
      <c r="CH18" s="1022" t="n"/>
      <c r="CI18" s="102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3" t="n"/>
      <c r="CY18" s="941" t="n"/>
    </row>
    <row r="19" ht="11.1" customHeight="1" s="710">
      <c r="A19" s="941" t="n"/>
      <c r="B19" s="1021" t="n"/>
      <c r="C19" s="1022" t="n"/>
      <c r="D19" s="1022" t="n"/>
      <c r="E19" s="1022" t="n"/>
      <c r="F19" s="1022" t="n"/>
      <c r="G19" s="1022" t="n"/>
      <c r="H19" s="1022" t="n"/>
      <c r="I19" s="1022" t="n"/>
      <c r="J19" s="1022" t="n"/>
      <c r="K19" s="1022" t="n"/>
      <c r="L19" s="1022" t="n"/>
      <c r="M19" s="1022" t="n"/>
      <c r="N19" s="1022" t="n"/>
      <c r="O19" s="1022" t="n"/>
      <c r="P19" s="1022" t="n"/>
      <c r="Q19" s="1022" t="n"/>
      <c r="R19" s="102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2" t="n"/>
      <c r="BN19" s="102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3" t="n"/>
      <c r="CD19" s="941" t="n"/>
      <c r="CE19" s="941" t="n"/>
      <c r="CF19" s="1022" t="n"/>
      <c r="CG19" s="1024" t="inlineStr">
        <is>
          <t>TB_R_CROSSDOCK_IF_</t>
        </is>
      </c>
      <c r="CH19" s="1022" t="n"/>
      <c r="CI19" s="102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3" t="n"/>
      <c r="CY19" s="941" t="n"/>
    </row>
    <row r="20" ht="11.1" customHeight="1" s="710">
      <c r="A20" s="941" t="n"/>
      <c r="B20" s="1021" t="n"/>
      <c r="C20" s="1022" t="n"/>
      <c r="D20" s="1022" t="n"/>
      <c r="E20" s="1022" t="n"/>
      <c r="F20" s="1022" t="n"/>
      <c r="G20" s="1022" t="n"/>
      <c r="H20" s="1022" t="n"/>
      <c r="I20" s="1022" t="n"/>
      <c r="J20" s="1022" t="n"/>
      <c r="K20" s="1022" t="n"/>
      <c r="L20" s="1022" t="n"/>
      <c r="M20" s="1022" t="n"/>
      <c r="N20" s="1022" t="n"/>
      <c r="O20" s="1022" t="n"/>
      <c r="P20" s="1022" t="n"/>
      <c r="Q20" s="1022" t="n"/>
      <c r="R20" s="102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2" t="n"/>
      <c r="BN20" s="102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3" t="n"/>
      <c r="CD20" s="941" t="n"/>
      <c r="CE20" s="941" t="n"/>
      <c r="CF20" s="1022" t="n"/>
      <c r="CG20" s="1024" t="inlineStr">
        <is>
          <t>RESULT whose PART_STATUS</t>
        </is>
      </c>
      <c r="CH20" s="1022" t="n"/>
      <c r="CI20" s="102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3" t="n"/>
      <c r="CY20" s="941" t="n"/>
    </row>
    <row r="21" ht="11.1" customHeight="1" s="710">
      <c r="A21" s="941" t="n"/>
      <c r="B21" s="1021" t="n"/>
      <c r="C21" s="1022" t="n"/>
      <c r="D21" s="1022" t="n"/>
      <c r="E21" s="1022" t="n"/>
      <c r="F21" s="1022" t="n"/>
      <c r="G21" s="1022" t="n"/>
      <c r="H21" s="1022" t="n"/>
      <c r="I21" s="1022" t="n"/>
      <c r="J21" s="1022" t="n"/>
      <c r="K21" s="1022" t="n"/>
      <c r="L21" s="1022" t="n"/>
      <c r="M21" s="1022" t="n"/>
      <c r="N21" s="1022" t="n"/>
      <c r="O21" s="1022" t="n"/>
      <c r="P21" s="1022" t="n"/>
      <c r="Q21" s="1022" t="n"/>
      <c r="R21" s="102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2" t="n"/>
      <c r="BN21" s="102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3" t="n"/>
      <c r="CD21" s="941" t="n"/>
      <c r="CE21" s="941" t="n"/>
      <c r="CF21" s="1022" t="n"/>
      <c r="CG21" s="1024" t="inlineStr">
        <is>
          <t>is still 'Active'. Keep</t>
        </is>
      </c>
      <c r="CH21" s="1022" t="n"/>
      <c r="CI21" s="102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3" t="n"/>
      <c r="CY21" s="941" t="n"/>
    </row>
    <row r="22" ht="11.1" customHeight="1" s="710">
      <c r="A22" s="941" t="n"/>
      <c r="B22" s="1021" t="n"/>
      <c r="C22" s="1022" t="n"/>
      <c r="D22" s="1022" t="n"/>
      <c r="E22" s="1022" t="n"/>
      <c r="F22" s="1022" t="n"/>
      <c r="G22" s="1022" t="n"/>
      <c r="H22" s="1022" t="n"/>
      <c r="I22" s="1022" t="n"/>
      <c r="J22" s="1022" t="n"/>
      <c r="K22" s="1022" t="n"/>
      <c r="L22" s="1022" t="n"/>
      <c r="M22" s="1022" t="n"/>
      <c r="N22" s="1022" t="n"/>
      <c r="O22" s="1022" t="n"/>
      <c r="P22" s="1022" t="n"/>
      <c r="Q22" s="1022" t="n"/>
      <c r="R22" s="102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2" t="n"/>
      <c r="BN22" s="102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3" t="n"/>
      <c r="CD22" s="941" t="n"/>
      <c r="CE22" s="941" t="n"/>
      <c r="CF22" s="1022" t="n"/>
      <c r="CG22" s="1024" t="inlineStr">
        <is>
          <t>CHANGED_DT of each part. No</t>
        </is>
      </c>
      <c r="CH22" s="1022" t="n"/>
      <c r="CI22" s="102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3" t="n"/>
      <c r="CY22" s="941" t="n"/>
    </row>
    <row r="23" ht="11.1" customHeight="1" s="710">
      <c r="A23" s="941" t="n"/>
      <c r="B23" s="1021" t="n"/>
      <c r="C23" s="1022" t="n"/>
      <c r="D23" s="1022" t="n"/>
      <c r="E23" s="1022" t="n"/>
      <c r="F23" s="1022" t="n"/>
      <c r="G23" s="1022" t="n"/>
      <c r="H23" s="1022" t="n"/>
      <c r="I23" s="1022" t="n"/>
      <c r="J23" s="1022" t="n"/>
      <c r="K23" s="1022" t="n"/>
      <c r="L23" s="1022" t="n"/>
      <c r="M23" s="1022" t="n"/>
      <c r="N23" s="1022" t="n"/>
      <c r="O23" s="1022" t="n"/>
      <c r="P23" s="1022" t="n"/>
      <c r="Q23" s="1022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2" t="n"/>
      <c r="BN23" s="102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3" t="n"/>
      <c r="CD23" s="941" t="n"/>
      <c r="CE23" s="941" t="n"/>
      <c r="CF23" s="1022" t="n"/>
      <c r="CG23" s="1024" t="inlineStr">
        <is>
          <t>part: write LOG2 and exit.</t>
        </is>
      </c>
      <c r="CH23" s="1022" t="n"/>
      <c r="CI23" s="102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1.1" customHeight="1" s="710">
      <c r="A24" s="941" t="n"/>
      <c r="B24" s="1021" t="n"/>
      <c r="C24" s="1022" t="n"/>
      <c r="D24" s="1022" t="n"/>
      <c r="E24" s="1022" t="n"/>
      <c r="F24" s="1022" t="n"/>
      <c r="G24" s="1022" t="n"/>
      <c r="H24" s="1022" t="n"/>
      <c r="I24" s="1022" t="n"/>
      <c r="J24" s="1022" t="n"/>
      <c r="K24" s="1022" t="n"/>
      <c r="L24" s="1022" t="n"/>
      <c r="M24" s="1022" t="n"/>
      <c r="N24" s="1022" t="n"/>
      <c r="O24" s="1022" t="n"/>
      <c r="P24" s="1022" t="n"/>
      <c r="Q24" s="1022" t="n"/>
      <c r="R24" s="102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2" t="n"/>
      <c r="BN24" s="102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3" t="n"/>
      <c r="CD24" s="941" t="n"/>
      <c r="CE24" s="948" t="inlineStr">
        <is>
          <t>3.</t>
        </is>
      </c>
      <c r="CF24" s="1022" t="n"/>
      <c r="CG24" s="1024" t="inlineStr">
        <is>
          <t>Create the interface file</t>
        </is>
      </c>
      <c r="CH24" s="1022" t="n"/>
      <c r="CI24" s="102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3" t="n"/>
      <c r="CY24" s="941" t="n"/>
    </row>
    <row r="25" ht="11.1" customHeight="1" s="710">
      <c r="A25" s="941" t="n"/>
      <c r="B25" s="1021" t="n"/>
      <c r="C25" s="1022" t="n"/>
      <c r="D25" s="1022" t="n"/>
      <c r="E25" s="1022" t="n"/>
      <c r="F25" s="1022" t="n"/>
      <c r="G25" s="1022" t="n"/>
      <c r="H25" s="1022" t="n"/>
      <c r="I25" s="1022" t="n"/>
      <c r="J25" s="1022" t="n"/>
      <c r="K25" s="1022" t="n"/>
      <c r="L25" s="1022" t="n"/>
      <c r="M25" s="1022" t="n"/>
      <c r="N25" s="1022" t="n"/>
      <c r="O25" s="1022" t="n"/>
      <c r="P25" s="1022" t="n"/>
      <c r="Q25" s="1022" t="n"/>
      <c r="R25" s="102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2" t="n"/>
      <c r="BN25" s="102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3" t="n"/>
      <c r="CD25" s="941" t="n"/>
      <c r="CE25" s="941" t="n"/>
      <c r="CF25" s="1022" t="n"/>
      <c r="CG25" s="1024" t="inlineStr">
        <is>
          <t>XD_CDMASTER_APPOLE_</t>
        </is>
      </c>
      <c r="CH25" s="1022" t="n"/>
      <c r="CI25" s="102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3" t="n"/>
      <c r="CY25" s="941" t="n"/>
    </row>
    <row r="26" ht="11.1" customHeight="1" s="710">
      <c r="A26" s="941" t="n"/>
      <c r="B26" s="1021" t="n"/>
      <c r="C26" s="1022" t="n"/>
      <c r="D26" s="1022" t="n"/>
      <c r="E26" s="1022" t="n"/>
      <c r="F26" s="1022" t="n"/>
      <c r="G26" s="1022" t="n"/>
      <c r="H26" s="1022" t="n"/>
      <c r="I26" s="1022" t="n"/>
      <c r="J26" s="1022" t="n"/>
      <c r="K26" s="1022" t="n"/>
      <c r="L26" s="1022" t="n"/>
      <c r="M26" s="1022" t="n"/>
      <c r="N26" s="1022" t="n"/>
      <c r="O26" s="1022" t="n"/>
      <c r="P26" s="1022" t="n"/>
      <c r="Q26" s="1022" t="n"/>
      <c r="R26" s="102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2" t="n"/>
      <c r="BN26" s="102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3" t="n"/>
      <c r="CD26" s="941" t="n"/>
      <c r="CE26" s="941" t="n"/>
      <c r="CF26" s="1022" t="n"/>
      <c r="CG26" s="1024" t="inlineStr">
        <is>
          <t>&lt;YYYYMMDDHHMMSS&gt;.csv in</t>
        </is>
      </c>
      <c r="CH26" s="1022" t="n"/>
      <c r="CI26" s="102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3" t="n"/>
      <c r="CY26" s="941" t="n"/>
    </row>
    <row r="27" ht="11.1" customHeight="1" s="710">
      <c r="A27" s="941" t="n"/>
      <c r="B27" s="1021" t="n"/>
      <c r="C27" s="1022" t="n"/>
      <c r="D27" s="1022" t="n"/>
      <c r="E27" s="1022" t="n"/>
      <c r="F27" s="1022" t="n"/>
      <c r="G27" s="1022" t="n"/>
      <c r="H27" s="1022" t="n"/>
      <c r="I27" s="1022" t="n"/>
      <c r="J27" s="1022" t="n"/>
      <c r="K27" s="1022" t="n"/>
      <c r="L27" s="1022" t="n"/>
      <c r="M27" s="1022" t="n"/>
      <c r="N27" s="1022" t="n"/>
      <c r="O27" s="1022" t="n"/>
      <c r="P27" s="1022" t="n"/>
      <c r="Q27" s="1022" t="n"/>
      <c r="R27" s="102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2" t="n"/>
      <c r="BN27" s="102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3" t="n"/>
      <c r="CD27" s="941" t="n"/>
      <c r="CE27" s="941" t="n"/>
      <c r="CF27" s="1022" t="n"/>
      <c r="CG27" s="1024" t="inlineStr">
        <is>
          <t>the outbound folder (see Interface</t>
        </is>
      </c>
      <c r="CH27" s="1022" t="n"/>
      <c r="CI27" s="102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3" t="n"/>
      <c r="CY27" s="941" t="n"/>
    </row>
    <row r="28" ht="11.1" customHeight="1" s="710">
      <c r="A28" s="941" t="n"/>
      <c r="B28" s="1021" t="n"/>
      <c r="C28" s="1022" t="n"/>
      <c r="D28" s="1022" t="n"/>
      <c r="E28" s="1022" t="n"/>
      <c r="F28" s="1022" t="n"/>
      <c r="G28" s="1022" t="n"/>
      <c r="H28" s="1022" t="n"/>
      <c r="I28" s="1022" t="n"/>
      <c r="J28" s="1022" t="n"/>
      <c r="K28" s="1022" t="n"/>
      <c r="L28" s="1022" t="n"/>
      <c r="M28" s="1022" t="n"/>
      <c r="N28" s="1022" t="n"/>
      <c r="O28" s="1022" t="n"/>
      <c r="P28" s="1022" t="n"/>
      <c r="Q28" s="1022" t="n"/>
      <c r="R28" s="102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2" t="n"/>
      <c r="BN28" s="102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3" t="n"/>
      <c r="CD28" s="941" t="n"/>
      <c r="CE28" s="941" t="n"/>
      <c r="CF28" s="1022" t="n"/>
      <c r="CG28" s="1024" t="inlineStr">
        <is>
          <t>File / Interface Data):</t>
        </is>
      </c>
      <c r="CH28" s="1022" t="n"/>
      <c r="CI28" s="102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3" t="n"/>
      <c r="CY28" s="941" t="n"/>
    </row>
    <row r="29" ht="11.1" customHeight="1" s="710">
      <c r="A29" s="941" t="n"/>
      <c r="B29" s="1021" t="n"/>
      <c r="C29" s="1022" t="n"/>
      <c r="D29" s="1022" t="n"/>
      <c r="E29" s="1022" t="n"/>
      <c r="F29" s="1022" t="n"/>
      <c r="G29" s="1022" t="n"/>
      <c r="H29" s="1022" t="n"/>
      <c r="I29" s="1022" t="n"/>
      <c r="J29" s="1022" t="n"/>
      <c r="K29" s="1022" t="n"/>
      <c r="L29" s="1022" t="n"/>
      <c r="M29" s="1022" t="n"/>
      <c r="N29" s="1022" t="n"/>
      <c r="O29" s="1022" t="n"/>
      <c r="P29" s="1022" t="n"/>
      <c r="Q29" s="1022" t="n"/>
      <c r="R29" s="102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2" t="n"/>
      <c r="BN29" s="102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3" t="n"/>
      <c r="CD29" s="941" t="n"/>
      <c r="CE29" s="941" t="n"/>
      <c r="CF29" s="1024" t="inlineStr">
        <is>
          <t>-</t>
        </is>
      </c>
      <c r="CG29" s="1024" t="inlineStr">
        <is>
          <t>Per part: PART_NO,</t>
        </is>
      </c>
      <c r="CH29" s="1022" t="n"/>
      <c r="CI29" s="102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3" t="n"/>
      <c r="CY29" s="941" t="n"/>
    </row>
    <row r="30" ht="11.1" customHeight="1" s="710">
      <c r="A30" s="941" t="n"/>
      <c r="B30" s="1021" t="n"/>
      <c r="C30" s="1022" t="n"/>
      <c r="D30" s="1022" t="n"/>
      <c r="E30" s="1022" t="n"/>
      <c r="F30" s="1022" t="n"/>
      <c r="G30" s="1022" t="n"/>
      <c r="H30" s="1022" t="n"/>
      <c r="I30" s="1022" t="n"/>
      <c r="J30" s="1022" t="n"/>
      <c r="K30" s="1022" t="n"/>
      <c r="L30" s="1022" t="n"/>
      <c r="M30" s="1022" t="n"/>
      <c r="N30" s="1022" t="n"/>
      <c r="O30" s="1022" t="n"/>
      <c r="P30" s="1022" t="n"/>
      <c r="Q30" s="1022" t="n"/>
      <c r="R30" s="102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2" t="n"/>
      <c r="BN30" s="102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3" t="n"/>
      <c r="CD30" s="941" t="n"/>
      <c r="CE30" s="941" t="n"/>
      <c r="CF30" s="1022" t="n"/>
      <c r="CG30" s="1024" t="inlineStr">
        <is>
          <t>CROSSDOCK_FLAG 'Y',</t>
        </is>
      </c>
      <c r="CH30" s="1022" t="n"/>
      <c r="CI30" s="102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3" t="n"/>
      <c r="CY30" s="941" t="n"/>
    </row>
    <row r="31" ht="11.1" customHeight="1" s="710">
      <c r="A31" s="941" t="n"/>
      <c r="B31" s="1021" t="n"/>
      <c r="C31" s="1022" t="n"/>
      <c r="D31" s="1022" t="n"/>
      <c r="E31" s="1022" t="n"/>
      <c r="F31" s="1022" t="n"/>
      <c r="G31" s="1022" t="n"/>
      <c r="H31" s="1022" t="n"/>
      <c r="I31" s="1022" t="n"/>
      <c r="J31" s="1022" t="n"/>
      <c r="K31" s="1022" t="n"/>
      <c r="L31" s="1022" t="n"/>
      <c r="M31" s="1022" t="n"/>
      <c r="N31" s="1022" t="n"/>
      <c r="O31" s="1022" t="n"/>
      <c r="P31" s="1022" t="n"/>
      <c r="Q31" s="1022" t="n"/>
      <c r="R31" s="102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2" t="n"/>
      <c r="BN31" s="102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3" t="n"/>
      <c r="CD31" s="941" t="n"/>
      <c r="CE31" s="941" t="n"/>
      <c r="CF31" s="1022" t="n"/>
      <c r="CG31" s="1024" t="inlineStr">
        <is>
          <t>PCS_CASE, MAX_CASE_DAY,</t>
        </is>
      </c>
      <c r="CH31" s="1022" t="n"/>
      <c r="CI31" s="102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3" t="n"/>
      <c r="CY31" s="941" t="n"/>
    </row>
    <row r="32" ht="11.1" customHeight="1" s="710">
      <c r="A32" s="941" t="n"/>
      <c r="B32" s="1021" t="n"/>
      <c r="C32" s="1022" t="n"/>
      <c r="D32" s="1022" t="n"/>
      <c r="E32" s="1022" t="n"/>
      <c r="F32" s="1022" t="n"/>
      <c r="G32" s="1022" t="n"/>
      <c r="H32" s="1022" t="n"/>
      <c r="I32" s="1022" t="n"/>
      <c r="J32" s="1022" t="n"/>
      <c r="K32" s="1022" t="n"/>
      <c r="L32" s="1022" t="n"/>
      <c r="M32" s="1022" t="n"/>
      <c r="N32" s="1022" t="n"/>
      <c r="O32" s="1022" t="n"/>
      <c r="P32" s="1022" t="n"/>
      <c r="Q32" s="1022" t="n"/>
      <c r="R32" s="102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2" t="n"/>
      <c r="BN32" s="102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3" t="n"/>
      <c r="CD32" s="941" t="n"/>
      <c r="CE32" s="941" t="n"/>
      <c r="CF32" s="1022" t="n"/>
      <c r="CG32" s="1024" t="inlineStr">
        <is>
          <t>EFFECTIVE_START_DATE from</t>
        </is>
      </c>
      <c r="CH32" s="1022" t="n"/>
      <c r="CI32" s="102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3" t="n"/>
      <c r="CY32" s="941" t="n"/>
    </row>
    <row r="33" ht="11.1" customHeight="1" s="710">
      <c r="A33" s="941" t="n"/>
      <c r="B33" s="1021" t="n"/>
      <c r="C33" s="1022" t="n"/>
      <c r="D33" s="1022" t="n"/>
      <c r="E33" s="1022" t="n"/>
      <c r="F33" s="1022" t="n"/>
      <c r="G33" s="1022" t="n"/>
      <c r="H33" s="1022" t="n"/>
      <c r="I33" s="1022" t="n"/>
      <c r="J33" s="1022" t="n"/>
      <c r="K33" s="1022" t="n"/>
      <c r="L33" s="1022" t="n"/>
      <c r="M33" s="1022" t="n"/>
      <c r="N33" s="1022" t="n"/>
      <c r="O33" s="1022" t="n"/>
      <c r="P33" s="1022" t="n"/>
      <c r="Q33" s="1022" t="n"/>
      <c r="R33" s="102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2" t="n"/>
      <c r="BN33" s="102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3" t="n"/>
      <c r="CD33" s="941" t="n"/>
      <c r="CE33" s="941" t="n"/>
      <c r="CF33" s="1022" t="n"/>
      <c r="CG33" s="1024" t="inlineStr">
        <is>
          <t>TB_M_PART_CANDIDATE.</t>
        </is>
      </c>
      <c r="CH33" s="1022" t="n"/>
      <c r="CI33" s="102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3" t="n"/>
      <c r="CY33" s="941" t="n"/>
    </row>
    <row r="34" ht="11.1" customHeight="1" s="710">
      <c r="A34" s="941" t="n"/>
      <c r="B34" s="1021" t="n"/>
      <c r="C34" s="1022" t="n"/>
      <c r="D34" s="1022" t="n"/>
      <c r="E34" s="1022" t="n"/>
      <c r="F34" s="1022" t="n"/>
      <c r="G34" s="1022" t="n"/>
      <c r="H34" s="1022" t="n"/>
      <c r="I34" s="1022" t="n"/>
      <c r="J34" s="1022" t="n"/>
      <c r="K34" s="1022" t="n"/>
      <c r="L34" s="1022" t="n"/>
      <c r="M34" s="1022" t="n"/>
      <c r="N34" s="1022" t="n"/>
      <c r="O34" s="1022" t="n"/>
      <c r="P34" s="1022" t="n"/>
      <c r="Q34" s="1022" t="n"/>
      <c r="R34" s="102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2" t="n"/>
      <c r="BN34" s="102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3" t="n"/>
      <c r="CD34" s="941" t="n"/>
      <c r="CE34" s="941" t="n"/>
      <c r="CF34" s="1024" t="inlineStr">
        <is>
          <t>-</t>
        </is>
      </c>
      <c r="CG34" s="1024" t="inlineStr">
        <is>
          <t>Per destination of the ongoing</t>
        </is>
      </c>
      <c r="CH34" s="1022" t="n"/>
      <c r="CI34" s="102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3" t="n"/>
      <c r="CY34" s="941" t="n"/>
    </row>
    <row r="35" ht="11.1" customHeight="1" s="710">
      <c r="A35" s="941" t="n"/>
      <c r="B35" s="1021" t="n"/>
      <c r="C35" s="1022" t="n"/>
      <c r="D35" s="1022" t="n"/>
      <c r="E35" s="1022" t="n"/>
      <c r="F35" s="1022" t="n"/>
      <c r="G35" s="1022" t="n"/>
      <c r="H35" s="1022" t="n"/>
      <c r="I35" s="1022" t="n"/>
      <c r="J35" s="1022" t="n"/>
      <c r="K35" s="1022" t="n"/>
      <c r="L35" s="1022" t="n"/>
      <c r="M35" s="1022" t="n"/>
      <c r="N35" s="1022" t="n"/>
      <c r="O35" s="1022" t="n"/>
      <c r="P35" s="1022" t="n"/>
      <c r="Q35" s="1022" t="n"/>
      <c r="R35" s="102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2" t="n"/>
      <c r="BN35" s="102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3" t="n"/>
      <c r="CD35" s="941" t="n"/>
      <c r="CE35" s="941" t="n"/>
      <c r="CF35" s="1022" t="n"/>
      <c r="CG35" s="1024" t="inlineStr">
        <is>
          <t>period: PERIOD, DEST_CODE,</t>
        </is>
      </c>
      <c r="CH35" s="1022" t="n"/>
      <c r="CI35" s="102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3" t="n"/>
      <c r="CY35" s="941" t="n"/>
    </row>
    <row r="36" ht="11.1" customHeight="1" s="710">
      <c r="A36" s="941" t="n"/>
      <c r="B36" s="1021" t="n"/>
      <c r="C36" s="1022" t="n"/>
      <c r="D36" s="1022" t="n"/>
      <c r="E36" s="1022" t="n"/>
      <c r="F36" s="1022" t="n"/>
      <c r="G36" s="1022" t="n"/>
      <c r="H36" s="1022" t="n"/>
      <c r="I36" s="1022" t="n"/>
      <c r="J36" s="1022" t="n"/>
      <c r="K36" s="1022" t="n"/>
      <c r="L36" s="1022" t="n"/>
      <c r="M36" s="1022" t="n"/>
      <c r="N36" s="1022" t="n"/>
      <c r="O36" s="1022" t="n"/>
      <c r="P36" s="1022" t="n"/>
      <c r="Q36" s="1022" t="n"/>
      <c r="R36" s="102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2" t="n"/>
      <c r="BN36" s="102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3" t="n"/>
      <c r="CD36" s="941" t="n"/>
      <c r="CE36" s="941" t="n"/>
      <c r="CF36" s="1022" t="n"/>
      <c r="CG36" s="1024" t="inlineStr">
        <is>
          <t>CASE_DAY from</t>
        </is>
      </c>
      <c r="CH36" s="1022" t="n"/>
      <c r="CI36" s="102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3" t="n"/>
      <c r="CY36" s="941" t="n"/>
    </row>
    <row r="37" ht="11.1" customHeight="1" s="710">
      <c r="A37" s="941" t="n"/>
      <c r="B37" s="1021" t="n"/>
      <c r="C37" s="1022" t="n"/>
      <c r="D37" s="1022" t="n"/>
      <c r="E37" s="1022" t="n"/>
      <c r="F37" s="1022" t="n"/>
      <c r="G37" s="1022" t="n"/>
      <c r="H37" s="1022" t="n"/>
      <c r="I37" s="1022" t="n"/>
      <c r="J37" s="1022" t="n"/>
      <c r="K37" s="1022" t="n"/>
      <c r="L37" s="1022" t="n"/>
      <c r="M37" s="1022" t="n"/>
      <c r="N37" s="1022" t="n"/>
      <c r="O37" s="1022" t="n"/>
      <c r="P37" s="1022" t="n"/>
      <c r="Q37" s="1022" t="n"/>
      <c r="R37" s="102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2" t="n"/>
      <c r="BN37" s="102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3" t="n"/>
      <c r="CD37" s="941" t="n"/>
      <c r="CE37" s="941" t="n"/>
      <c r="CF37" s="1022" t="n"/>
      <c r="CG37" s="1024" t="inlineStr">
        <is>
          <t>TB_M_PART_CANDIDATE_</t>
        </is>
      </c>
      <c r="CH37" s="1022" t="n"/>
      <c r="CI37" s="102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3" t="n"/>
      <c r="CY37" s="941" t="n"/>
    </row>
    <row r="38" ht="11.1" customHeight="1" s="710">
      <c r="A38" s="941" t="n"/>
      <c r="B38" s="1021" t="n"/>
      <c r="C38" s="1022" t="n"/>
      <c r="D38" s="1022" t="n"/>
      <c r="E38" s="1022" t="n"/>
      <c r="F38" s="1022" t="n"/>
      <c r="G38" s="1022" t="n"/>
      <c r="H38" s="1022" t="n"/>
      <c r="I38" s="1022" t="n"/>
      <c r="J38" s="1022" t="n"/>
      <c r="K38" s="1022" t="n"/>
      <c r="L38" s="1022" t="n"/>
      <c r="M38" s="1022" t="n"/>
      <c r="N38" s="1022" t="n"/>
      <c r="O38" s="1022" t="n"/>
      <c r="P38" s="1022" t="n"/>
      <c r="Q38" s="1022" t="n"/>
      <c r="R38" s="102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2" t="n"/>
      <c r="BN38" s="102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3" t="n"/>
      <c r="CD38" s="941" t="n"/>
      <c r="CE38" s="941" t="n"/>
      <c r="CF38" s="1022" t="n"/>
      <c r="CG38" s="1024" t="inlineStr">
        <is>
          <t>DEST (one record each).</t>
        </is>
      </c>
      <c r="CH38" s="1022" t="n"/>
      <c r="CI38" s="102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1022" t="n"/>
      <c r="D39" s="1022" t="n"/>
      <c r="E39" s="1022" t="n"/>
      <c r="F39" s="1022" t="n"/>
      <c r="G39" s="1022" t="n"/>
      <c r="H39" s="1022" t="n"/>
      <c r="I39" s="1022" t="n"/>
      <c r="J39" s="1022" t="n"/>
      <c r="K39" s="1022" t="n"/>
      <c r="L39" s="1022" t="n"/>
      <c r="M39" s="1022" t="n"/>
      <c r="N39" s="1022" t="n"/>
      <c r="O39" s="1022" t="n"/>
      <c r="P39" s="1022" t="n"/>
      <c r="Q39" s="1022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2" t="n"/>
      <c r="BN39" s="102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3" t="n"/>
      <c r="CD39" s="941" t="n"/>
      <c r="CE39" s="941" t="n"/>
      <c r="CF39" s="1024" t="inlineStr">
        <is>
          <t>-</t>
        </is>
      </c>
      <c r="CG39" s="1024" t="inlineStr">
        <is>
          <t>Same SEND_ID and SEND_DT</t>
        </is>
      </c>
      <c r="CH39" s="1022" t="n"/>
      <c r="CI39" s="102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1022" t="n"/>
      <c r="D40" s="1022" t="n"/>
      <c r="E40" s="1022" t="n"/>
      <c r="F40" s="1022" t="n"/>
      <c r="G40" s="1022" t="n"/>
      <c r="H40" s="1022" t="n"/>
      <c r="I40" s="1022" t="n"/>
      <c r="J40" s="1022" t="n"/>
      <c r="K40" s="1022" t="n"/>
      <c r="L40" s="1022" t="n"/>
      <c r="M40" s="1022" t="n"/>
      <c r="N40" s="1022" t="n"/>
      <c r="O40" s="1022" t="n"/>
      <c r="P40" s="1022" t="n"/>
      <c r="Q40" s="1022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2" t="n"/>
      <c r="BN40" s="102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3" t="n"/>
      <c r="CD40" s="941" t="n"/>
      <c r="CE40" s="941" t="n"/>
      <c r="CF40" s="1022" t="n"/>
      <c r="CG40" s="1024" t="inlineStr">
        <is>
          <t>on every record. Error: LOG3, all</t>
        </is>
      </c>
      <c r="CH40" s="1022" t="n"/>
      <c r="CI40" s="102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1022" t="n"/>
      <c r="D41" s="1022" t="n"/>
      <c r="E41" s="1022" t="n"/>
      <c r="F41" s="1022" t="n"/>
      <c r="G41" s="1022" t="n"/>
      <c r="H41" s="1022" t="n"/>
      <c r="I41" s="1022" t="n"/>
      <c r="J41" s="1022" t="n"/>
      <c r="K41" s="1022" t="n"/>
      <c r="L41" s="1022" t="n"/>
      <c r="M41" s="1022" t="n"/>
      <c r="N41" s="1022" t="n"/>
      <c r="O41" s="1022" t="n"/>
      <c r="P41" s="1022" t="n"/>
      <c r="Q41" s="1022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2" t="n"/>
      <c r="BN41" s="102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3" t="n"/>
      <c r="CD41" s="941" t="n"/>
      <c r="CE41" s="941" t="n"/>
      <c r="CF41" s="1022" t="n"/>
      <c r="CG41" s="1024" t="inlineStr">
        <is>
          <t>parts Failed (step 6).</t>
        </is>
      </c>
      <c r="CH41" s="1022" t="n"/>
      <c r="CI41" s="102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1022" t="n"/>
      <c r="D42" s="1022" t="n"/>
      <c r="E42" s="1022" t="n"/>
      <c r="F42" s="1022" t="n"/>
      <c r="G42" s="1022" t="n"/>
      <c r="H42" s="1022" t="n"/>
      <c r="I42" s="1022" t="n"/>
      <c r="J42" s="1022" t="n"/>
      <c r="K42" s="1022" t="n"/>
      <c r="L42" s="1022" t="n"/>
      <c r="M42" s="1022" t="n"/>
      <c r="N42" s="1022" t="n"/>
      <c r="O42" s="1022" t="n"/>
      <c r="P42" s="1022" t="n"/>
      <c r="Q42" s="1022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2" t="n"/>
      <c r="BN42" s="102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3" t="n"/>
      <c r="CD42" s="941" t="n"/>
      <c r="CE42" s="948" t="inlineStr">
        <is>
          <t>4.</t>
        </is>
      </c>
      <c r="CF42" s="1022" t="n"/>
      <c r="CG42" s="1024" t="inlineStr">
        <is>
          <t>Put the file by SFTP on the</t>
        </is>
      </c>
      <c r="CH42" s="1022" t="n"/>
      <c r="CI42" s="102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1022" t="n"/>
      <c r="D43" s="1022" t="n"/>
      <c r="E43" s="1022" t="n"/>
      <c r="F43" s="1022" t="n"/>
      <c r="G43" s="1022" t="n"/>
      <c r="H43" s="1022" t="n"/>
      <c r="I43" s="1022" t="n"/>
      <c r="J43" s="1022" t="n"/>
      <c r="K43" s="1022" t="n"/>
      <c r="L43" s="1022" t="n"/>
      <c r="M43" s="1022" t="n"/>
      <c r="N43" s="1022" t="n"/>
      <c r="O43" s="1022" t="n"/>
      <c r="P43" s="1022" t="n"/>
      <c r="Q43" s="1022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2" t="n"/>
      <c r="BN43" s="102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3" t="n"/>
      <c r="CD43" s="941" t="n"/>
      <c r="CE43" s="941" t="n"/>
      <c r="CF43" s="1022" t="n"/>
      <c r="CG43" s="1024" t="inlineStr">
        <is>
          <t>TMMIN SFTP server (outbound</t>
        </is>
      </c>
      <c r="CH43" s="1022" t="n"/>
      <c r="CI43" s="102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1022" t="n"/>
      <c r="D44" s="1022" t="n"/>
      <c r="E44" s="1022" t="n"/>
      <c r="F44" s="1022" t="n"/>
      <c r="G44" s="1022" t="n"/>
      <c r="H44" s="1022" t="n"/>
      <c r="I44" s="1022" t="n"/>
      <c r="J44" s="1022" t="n"/>
      <c r="K44" s="1022" t="n"/>
      <c r="L44" s="1022" t="n"/>
      <c r="M44" s="1022" t="n"/>
      <c r="N44" s="1022" t="n"/>
      <c r="O44" s="1022" t="n"/>
      <c r="P44" s="1022" t="n"/>
      <c r="Q44" s="1022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2" t="n"/>
      <c r="BN44" s="102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3" t="n"/>
      <c r="CD44" s="941" t="n"/>
      <c r="CE44" s="941" t="n"/>
      <c r="CF44" s="1022" t="n"/>
      <c r="CG44" s="1024" t="inlineStr">
        <is>
          <t>folder) and verify the transfer (file</t>
        </is>
      </c>
      <c r="CH44" s="1022" t="n"/>
      <c r="CI44" s="102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1022" t="n"/>
      <c r="D45" s="1022" t="n"/>
      <c r="E45" s="1022" t="n"/>
      <c r="F45" s="1022" t="n"/>
      <c r="G45" s="1022" t="n"/>
      <c r="H45" s="1022" t="n"/>
      <c r="I45" s="1022" t="n"/>
      <c r="J45" s="1022" t="n"/>
      <c r="K45" s="1022" t="n"/>
      <c r="L45" s="1022" t="n"/>
      <c r="M45" s="1022" t="n"/>
      <c r="N45" s="1022" t="n"/>
      <c r="O45" s="1022" t="n"/>
      <c r="P45" s="1022" t="n"/>
      <c r="Q45" s="1022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2" t="n"/>
      <c r="BN45" s="1022" t="n"/>
      <c r="BO45" s="1022" t="n"/>
      <c r="BP45" s="1022" t="n"/>
      <c r="BQ45" s="1022" t="n"/>
      <c r="BR45" s="1022" t="n"/>
      <c r="BS45" s="1022" t="n"/>
      <c r="BT45" s="102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5" t="n"/>
      <c r="CD45" s="941" t="n"/>
      <c r="CE45" s="941" t="n"/>
      <c r="CF45" s="1022" t="n"/>
      <c r="CG45" s="1024" t="inlineStr">
        <is>
          <t>size / record count). The file is</t>
        </is>
      </c>
      <c r="CH45" s="1022" t="n"/>
      <c r="CI45" s="1022" t="n"/>
      <c r="CJ45" s="1022" t="n"/>
      <c r="CK45" s="1022" t="n"/>
      <c r="CL45" s="1022" t="n"/>
      <c r="CM45" s="1022" t="n"/>
      <c r="CN45" s="1022" t="n"/>
      <c r="CO45" s="102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1" t="n"/>
      <c r="C46" s="1022" t="n"/>
      <c r="D46" s="1022" t="n"/>
      <c r="E46" s="1022" t="n"/>
      <c r="F46" s="1022" t="n"/>
      <c r="G46" s="1022" t="n"/>
      <c r="H46" s="1022" t="n"/>
      <c r="I46" s="1022" t="n"/>
      <c r="J46" s="1022" t="n"/>
      <c r="K46" s="1022" t="n"/>
      <c r="L46" s="1022" t="n"/>
      <c r="M46" s="1022" t="n"/>
      <c r="N46" s="1022" t="n"/>
      <c r="O46" s="1022" t="n"/>
      <c r="P46" s="1022" t="n"/>
      <c r="Q46" s="1022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5" t="n"/>
      <c r="CD46" s="941" t="n"/>
      <c r="CE46" s="941" t="n"/>
      <c r="CF46" s="941" t="n"/>
      <c r="CG46" s="948" t="inlineStr">
        <is>
          <t>forwarded to the TMA SFTP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1" t="n"/>
      <c r="C47" s="1022" t="n"/>
      <c r="D47" s="1022" t="n"/>
      <c r="E47" s="1022" t="n"/>
      <c r="F47" s="1022" t="n"/>
      <c r="G47" s="1022" t="n"/>
      <c r="H47" s="1022" t="n"/>
      <c r="I47" s="1022" t="n"/>
      <c r="J47" s="1022" t="n"/>
      <c r="K47" s="1022" t="n"/>
      <c r="L47" s="1022" t="n"/>
      <c r="M47" s="1022" t="n"/>
      <c r="N47" s="1022" t="n"/>
      <c r="O47" s="1022" t="n"/>
      <c r="P47" s="1022" t="n"/>
      <c r="Q47" s="1022" t="n"/>
      <c r="R47" s="102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5" t="n"/>
      <c r="CD47" s="941" t="n"/>
      <c r="CE47" s="941" t="n"/>
      <c r="CF47" s="941" t="n"/>
      <c r="CG47" s="948" t="inlineStr">
        <is>
          <t>server, where the receive IF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941" t="n"/>
      <c r="B48" s="1026" t="n"/>
      <c r="C48" s="1027" t="n"/>
      <c r="D48" s="1027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8" t="n"/>
      <c r="CD48" s="1027" t="n"/>
      <c r="CE48" s="1027" t="n"/>
      <c r="CF48" s="1027" t="n"/>
      <c r="CG48" s="1029" t="inlineStr">
        <is>
          <t>the TMA inserts / updates</t>
        </is>
      </c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02" t="inlineStr">
        <is>
          <t>Crossdock Kanban Part Master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0" t="n"/>
      <c r="D50" s="1030" t="n"/>
      <c r="E50" s="1030" t="n"/>
      <c r="F50" s="1030" t="n"/>
      <c r="G50" s="1030" t="n"/>
      <c r="H50" s="1030" t="n"/>
      <c r="I50" s="1030" t="n"/>
      <c r="J50" s="1030" t="n"/>
      <c r="K50" s="1030" t="n"/>
      <c r="L50" s="1030" t="n"/>
      <c r="M50" s="1030" t="n"/>
      <c r="N50" s="1030" t="n"/>
      <c r="O50" s="1030" t="n"/>
      <c r="P50" s="1030" t="n"/>
      <c r="Q50" s="1030" t="n"/>
      <c r="R50" s="1030" t="n"/>
      <c r="S50" s="1030" t="n"/>
      <c r="T50" s="1030" t="n"/>
      <c r="U50" s="1030" t="n"/>
      <c r="V50" s="1030" t="n"/>
      <c r="W50" s="1030" t="n"/>
      <c r="X50" s="1030" t="n"/>
      <c r="Y50" s="1030" t="n"/>
      <c r="Z50" s="1030" t="n"/>
      <c r="AA50" s="1030" t="n"/>
      <c r="AB50" s="1030" t="n"/>
      <c r="AC50" s="1030" t="n"/>
      <c r="AD50" s="1030" t="n"/>
      <c r="AE50" s="1030" t="n"/>
      <c r="AF50" s="1030" t="n"/>
      <c r="AG50" s="1030" t="n"/>
      <c r="AH50" s="1030" t="n"/>
      <c r="AI50" s="1030" t="n"/>
      <c r="AJ50" s="1030" t="n"/>
      <c r="AK50" s="1030" t="n"/>
      <c r="AL50" s="1030" t="n"/>
      <c r="AM50" s="1030" t="n"/>
      <c r="AN50" s="1030" t="n"/>
      <c r="AO50" s="1030" t="n"/>
      <c r="AP50" s="1030" t="n"/>
      <c r="AQ50" s="1030" t="n"/>
      <c r="AR50" s="1030" t="n"/>
      <c r="AS50" s="1030" t="n"/>
      <c r="AT50" s="1030" t="n"/>
      <c r="AU50" s="1030" t="n"/>
      <c r="AV50" s="1030" t="n"/>
      <c r="AW50" s="1030" t="n"/>
      <c r="AX50" s="1030" t="n"/>
      <c r="AY50" s="1030" t="n"/>
      <c r="AZ50" s="1030" t="n"/>
      <c r="BA50" s="1030" t="n"/>
      <c r="BB50" s="1030" t="n"/>
      <c r="BC50" s="1030" t="n"/>
      <c r="BD50" s="1030" t="n"/>
      <c r="BE50" s="1030" t="n"/>
      <c r="BF50" s="1030" t="n"/>
      <c r="BG50" s="1030" t="n"/>
      <c r="BH50" s="1030" t="n"/>
      <c r="BI50" s="1030" t="n"/>
      <c r="BJ50" s="1030" t="n"/>
      <c r="BK50" s="1030" t="n"/>
      <c r="BL50" s="1030" t="n"/>
      <c r="BM50" s="1030" t="n"/>
      <c r="BN50" s="1030" t="n"/>
      <c r="BO50" s="1030" t="n"/>
      <c r="BP50" s="1030" t="n"/>
      <c r="BQ50" s="1030" t="n"/>
      <c r="BR50" s="1030" t="n"/>
      <c r="BS50" s="1030" t="n"/>
      <c r="BT50" s="1030" t="n"/>
      <c r="BU50" s="1030" t="n"/>
      <c r="BV50" s="1030" t="n"/>
      <c r="BW50" s="1030" t="n"/>
      <c r="BX50" s="1030" t="n"/>
      <c r="BY50" s="1030" t="n"/>
      <c r="BZ50" s="1030" t="n"/>
      <c r="CA50" s="1030" t="n"/>
      <c r="CB50" s="1030" t="n"/>
      <c r="CC50" s="999" t="n"/>
      <c r="CD50" s="1030" t="n"/>
      <c r="CE50" s="1030" t="n"/>
      <c r="CF50" s="1030" t="n"/>
      <c r="CG50" s="1030" t="n"/>
      <c r="CH50" s="1030" t="n"/>
      <c r="CI50" s="1030" t="n"/>
      <c r="CJ50" s="1030" t="n"/>
      <c r="CK50" s="1030" t="n"/>
      <c r="CL50" s="1030" t="n"/>
      <c r="CM50" s="1030" t="n"/>
      <c r="CN50" s="1030" t="n"/>
      <c r="CO50" s="1030" t="n"/>
      <c r="CP50" s="1030" t="n"/>
      <c r="CQ50" s="1030" t="n"/>
      <c r="CR50" s="1030" t="n"/>
      <c r="CS50" s="1030" t="n"/>
      <c r="CT50" s="1030" t="n"/>
      <c r="CU50" s="1030" t="n"/>
      <c r="CV50" s="1030" t="n"/>
      <c r="CW50" s="1030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02" t="inlineStr">
        <is>
          <t>and Crossdock Export Part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02" t="inlineStr">
        <is>
          <t>Master (AP POLE).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1002" t="inlineStr">
        <is>
          <t>-</t>
        </is>
      </c>
      <c r="CG54" s="1002" t="inlineStr">
        <is>
          <t>Transfer error: retry (parameter);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02" t="inlineStr">
        <is>
          <t>still failing: LOG4.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02" t="inlineStr">
        <is>
          <t>-</t>
        </is>
      </c>
      <c r="CG56" s="1002" t="inlineStr">
        <is>
          <t>Transfer OK: move the local file to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02" t="inlineStr">
        <is>
          <t>the backup folder.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1002" t="inlineStr">
        <is>
          <t>5.</t>
        </is>
      </c>
      <c r="CF58" s="997" t="n"/>
      <c r="CG58" s="1002" t="inlineStr">
        <is>
          <t>Set the send status of every part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02" t="inlineStr">
        <is>
          <t>of the file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02" t="inlineStr">
        <is>
          <t>TB_R_CROSSDOCK_IF_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02" t="inlineStr">
        <is>
          <t>RESULT: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02" t="inlineStr">
        <is>
          <t>-</t>
        </is>
      </c>
      <c r="CG62" s="1002" t="inlineStr">
        <is>
          <t>Transfer OK (file on the TMMIN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02" t="inlineStr">
        <is>
          <t>SFTP server): IF_STATUS = '1',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02" t="inlineStr">
        <is>
          <t>IF_DT = now, IF_FILE_NAME =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02" t="inlineStr">
        <is>
          <t>file name, IF_MESSAGE blank.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02" t="inlineStr">
        <is>
          <t>-</t>
        </is>
      </c>
      <c r="CG66" s="1002" t="inlineStr">
        <is>
          <t>File or transfer error: IF_STATUS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02">
        <f> '2', IF_DT = now, IF_MESSAGE</f>
        <v/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02">
        <f> error (LOG3 / LOG4).</f>
        <v/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1002" t="inlineStr">
        <is>
          <t>-</t>
        </is>
      </c>
      <c r="CG69" s="1002" t="inlineStr">
        <is>
          <t>The status is the result of the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02" t="inlineStr">
        <is>
          <t>SFTP transfer.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02" t="inlineStr">
        <is>
          <t>6.</t>
        </is>
      </c>
      <c r="CF71" s="997" t="n"/>
      <c r="CG71" s="1002" t="inlineStr">
        <is>
          <t>Update the overall Sync Status of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02" t="inlineStr">
        <is>
          <t>each part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02" t="inlineStr">
        <is>
          <t>TB_M_PART_CANDIDATE and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02" t="inlineStr">
        <is>
          <t>record the history: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02" t="inlineStr">
        <is>
          <t>-</t>
        </is>
      </c>
      <c r="CG75" s="1002" t="inlineStr">
        <is>
          <t>CHANGED_DT differs from step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02" t="inlineStr">
        <is>
          <t>2 (part changed while sending):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02" t="inlineStr">
        <is>
          <t>SYNC_STATUS = '0' (No Sync).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1002" t="inlineStr">
        <is>
          <t>-</t>
        </is>
      </c>
      <c r="CG78" s="1002" t="inlineStr">
        <is>
          <t>Else, status of 'APPOLE' and of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02" t="inlineStr">
        <is>
          <t>'GTOPAS' in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02" t="inlineStr">
        <is>
          <t>TB_R_CROSSDOCK_IF_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997" t="n"/>
      <c r="CG81" s="1002" t="inlineStr">
        <is>
          <t>RESULT: one still '3' -&gt;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02" t="inlineStr">
        <is>
          <t>SYNC_STATUS stays '3'; both '1'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02" t="inlineStr">
        <is>
          <t>-&gt; '1' (Success); one '2' -&gt; '2'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02" t="inlineStr">
        <is>
          <t>(Failed, SYNC_MESSAGE =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02" t="inlineStr">
        <is>
          <t>target + reason).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1002" t="inlineStr">
        <is>
          <t>-</t>
        </is>
      </c>
      <c r="CG86" s="1002" t="inlineStr">
        <is>
          <t>SYNC_DT = now when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02" t="inlineStr">
        <is>
          <t>SYNC_STATUS becomes 1 or 2.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02" t="inlineStr">
        <is>
          <t>-</t>
        </is>
      </c>
      <c r="CG88" s="1002" t="inlineStr">
        <is>
          <t>Insert TB_H_PART_CANDIDATE: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02" t="inlineStr">
        <is>
          <t>event SYNC, source IF,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02" t="inlineStr">
        <is>
          <t>FIELD_NAME SYNC_STATUS,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02" t="inlineStr">
        <is>
          <t>REMARK = 'APPOLE: ' + result /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0" t="n"/>
      <c r="D92" s="1030" t="n"/>
      <c r="E92" s="1030" t="n"/>
      <c r="F92" s="1030" t="n"/>
      <c r="G92" s="1030" t="n"/>
      <c r="H92" s="1030" t="n"/>
      <c r="I92" s="1030" t="n"/>
      <c r="J92" s="1030" t="n"/>
      <c r="K92" s="1030" t="n"/>
      <c r="L92" s="1030" t="n"/>
      <c r="M92" s="1030" t="n"/>
      <c r="N92" s="1030" t="n"/>
      <c r="O92" s="1030" t="n"/>
      <c r="P92" s="1030" t="n"/>
      <c r="Q92" s="1030" t="n"/>
      <c r="R92" s="1030" t="n"/>
      <c r="S92" s="1030" t="n"/>
      <c r="T92" s="1030" t="n"/>
      <c r="U92" s="1030" t="n"/>
      <c r="V92" s="1030" t="n"/>
      <c r="W92" s="1030" t="n"/>
      <c r="X92" s="1030" t="n"/>
      <c r="Y92" s="1030" t="n"/>
      <c r="Z92" s="1030" t="n"/>
      <c r="AA92" s="1030" t="n"/>
      <c r="AB92" s="1030" t="n"/>
      <c r="AC92" s="1030" t="n"/>
      <c r="AD92" s="1030" t="n"/>
      <c r="AE92" s="1030" t="n"/>
      <c r="AF92" s="1030" t="n"/>
      <c r="AG92" s="1030" t="n"/>
      <c r="AH92" s="1030" t="n"/>
      <c r="AI92" s="1030" t="n"/>
      <c r="AJ92" s="1030" t="n"/>
      <c r="AK92" s="1030" t="n"/>
      <c r="AL92" s="1030" t="n"/>
      <c r="AM92" s="1030" t="n"/>
      <c r="AN92" s="1030" t="n"/>
      <c r="AO92" s="1030" t="n"/>
      <c r="AP92" s="1030" t="n"/>
      <c r="AQ92" s="1030" t="n"/>
      <c r="AR92" s="1030" t="n"/>
      <c r="AS92" s="1030" t="n"/>
      <c r="AT92" s="1030" t="n"/>
      <c r="AU92" s="1030" t="n"/>
      <c r="AV92" s="1030" t="n"/>
      <c r="AW92" s="1030" t="n"/>
      <c r="AX92" s="1030" t="n"/>
      <c r="AY92" s="1030" t="n"/>
      <c r="AZ92" s="1030" t="n"/>
      <c r="BA92" s="1030" t="n"/>
      <c r="BB92" s="1030" t="n"/>
      <c r="BC92" s="1030" t="n"/>
      <c r="BD92" s="1030" t="n"/>
      <c r="BE92" s="1030" t="n"/>
      <c r="BF92" s="1030" t="n"/>
      <c r="BG92" s="1030" t="n"/>
      <c r="BH92" s="1030" t="n"/>
      <c r="BI92" s="1030" t="n"/>
      <c r="BJ92" s="1030" t="n"/>
      <c r="BK92" s="1030" t="n"/>
      <c r="BL92" s="1030" t="n"/>
      <c r="BM92" s="1030" t="n"/>
      <c r="BN92" s="1030" t="n"/>
      <c r="BO92" s="1030" t="n"/>
      <c r="BP92" s="1030" t="n"/>
      <c r="BQ92" s="1030" t="n"/>
      <c r="BR92" s="1030" t="n"/>
      <c r="BS92" s="1030" t="n"/>
      <c r="BT92" s="1030" t="n"/>
      <c r="BU92" s="1030" t="n"/>
      <c r="BV92" s="1030" t="n"/>
      <c r="BW92" s="1030" t="n"/>
      <c r="BX92" s="1030" t="n"/>
      <c r="BY92" s="1030" t="n"/>
      <c r="BZ92" s="1030" t="n"/>
      <c r="CA92" s="1030" t="n"/>
      <c r="CB92" s="1030" t="n"/>
      <c r="CC92" s="999" t="n"/>
      <c r="CD92" s="1030" t="n"/>
      <c r="CE92" s="1030" t="n"/>
      <c r="CF92" s="1030" t="n"/>
      <c r="CG92" s="1030" t="n"/>
      <c r="CH92" s="1030" t="n"/>
      <c r="CI92" s="1030" t="n"/>
      <c r="CJ92" s="1030" t="n"/>
      <c r="CK92" s="1030" t="n"/>
      <c r="CL92" s="1030" t="n"/>
      <c r="CM92" s="1030" t="n"/>
      <c r="CN92" s="1030" t="n"/>
      <c r="CO92" s="1030" t="n"/>
      <c r="CP92" s="1030" t="n"/>
      <c r="CQ92" s="1030" t="n"/>
      <c r="CR92" s="1030" t="n"/>
      <c r="CS92" s="1030" t="n"/>
      <c r="CT92" s="1030" t="n"/>
      <c r="CU92" s="1030" t="n"/>
      <c r="CV92" s="1030" t="n"/>
      <c r="CW92" s="1030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02" t="inlineStr">
        <is>
          <t>message.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1002" t="inlineStr">
        <is>
          <t>7.</t>
        </is>
      </c>
      <c r="CF95" s="997" t="n"/>
      <c r="CG95" s="1002" t="inlineStr">
        <is>
          <t>Write LOG2 with the file name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02" t="inlineStr">
        <is>
          <t>and the number of parts / records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02" t="inlineStr">
        <is>
          <t>sent. Exit.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5" t="n"/>
      <c r="C134" s="1016" t="n"/>
      <c r="D134" s="1016" t="n"/>
      <c r="E134" s="1016" t="n"/>
      <c r="F134" s="1016" t="n"/>
      <c r="G134" s="1016" t="n"/>
      <c r="H134" s="1016" t="n"/>
      <c r="I134" s="1016" t="n"/>
      <c r="J134" s="1016" t="n"/>
      <c r="K134" s="1016" t="n"/>
      <c r="L134" s="1016" t="n"/>
      <c r="M134" s="1016" t="n"/>
      <c r="N134" s="1016" t="n"/>
      <c r="O134" s="1016" t="n"/>
      <c r="P134" s="1016" t="n"/>
      <c r="Q134" s="1016" t="n"/>
      <c r="R134" s="1016" t="n"/>
      <c r="S134" s="1016" t="n"/>
      <c r="T134" s="1016" t="n"/>
      <c r="U134" s="1016" t="n"/>
      <c r="V134" s="1016" t="n"/>
      <c r="W134" s="1016" t="n"/>
      <c r="X134" s="1016" t="n"/>
      <c r="Y134" s="1016" t="n"/>
      <c r="Z134" s="1016" t="n"/>
      <c r="AA134" s="1016" t="n"/>
      <c r="AB134" s="1016" t="n"/>
      <c r="AC134" s="1016" t="n"/>
      <c r="AD134" s="1016" t="n"/>
      <c r="AE134" s="1016" t="n"/>
      <c r="AF134" s="1016" t="n"/>
      <c r="AG134" s="1016" t="n"/>
      <c r="AH134" s="1016" t="n"/>
      <c r="AI134" s="1016" t="n"/>
      <c r="AJ134" s="1016" t="n"/>
      <c r="AK134" s="1016" t="n"/>
      <c r="AL134" s="1016" t="n"/>
      <c r="AM134" s="1016" t="n"/>
      <c r="AN134" s="1016" t="n"/>
      <c r="AO134" s="1016" t="n"/>
      <c r="AP134" s="1016" t="n"/>
      <c r="AQ134" s="1016" t="n"/>
      <c r="AR134" s="1016" t="n"/>
      <c r="AS134" s="1016" t="n"/>
      <c r="AT134" s="1016" t="n"/>
      <c r="AU134" s="1016" t="n"/>
      <c r="AV134" s="1016" t="n"/>
      <c r="AW134" s="1016" t="n"/>
      <c r="AX134" s="1016" t="n"/>
      <c r="AY134" s="1016" t="n"/>
      <c r="AZ134" s="1016" t="n"/>
      <c r="BA134" s="1016" t="n"/>
      <c r="BB134" s="1016" t="n"/>
      <c r="BC134" s="1016" t="n"/>
      <c r="BD134" s="1016" t="n"/>
      <c r="BE134" s="1016" t="n"/>
      <c r="BF134" s="1016" t="n"/>
      <c r="BG134" s="1016" t="n"/>
      <c r="BH134" s="1016" t="n"/>
      <c r="BI134" s="1016" t="n"/>
      <c r="BJ134" s="1016" t="n"/>
      <c r="BK134" s="1016" t="n"/>
      <c r="BL134" s="1016" t="n"/>
      <c r="BM134" s="1016" t="n"/>
      <c r="BN134" s="1016" t="n"/>
      <c r="BO134" s="1016" t="n"/>
      <c r="BP134" s="1016" t="n"/>
      <c r="BQ134" s="1016" t="n"/>
      <c r="BR134" s="1016" t="n"/>
      <c r="BS134" s="1016" t="n"/>
      <c r="BT134" s="1016" t="n"/>
      <c r="BU134" s="1016" t="n"/>
      <c r="BV134" s="1016" t="n"/>
      <c r="BW134" s="1016" t="n"/>
      <c r="BX134" s="1016" t="n"/>
      <c r="BY134" s="1016" t="n"/>
      <c r="BZ134" s="1016" t="n"/>
      <c r="CA134" s="1016" t="n"/>
      <c r="CB134" s="1016" t="n"/>
      <c r="CC134" s="1017" t="n"/>
      <c r="CD134" s="1016" t="n"/>
      <c r="CE134" s="1016" t="n"/>
      <c r="CF134" s="1016" t="n"/>
      <c r="CG134" s="1016" t="n"/>
      <c r="CH134" s="1016" t="n"/>
      <c r="CI134" s="1016" t="n"/>
      <c r="CJ134" s="1016" t="n"/>
      <c r="CK134" s="1016" t="n"/>
      <c r="CL134" s="1016" t="n"/>
      <c r="CM134" s="1016" t="n"/>
      <c r="CN134" s="1016" t="n"/>
      <c r="CO134" s="1016" t="n"/>
      <c r="CP134" s="1016" t="n"/>
      <c r="CQ134" s="1016" t="n"/>
      <c r="CR134" s="1016" t="n"/>
      <c r="CS134" s="1016" t="n"/>
      <c r="CT134" s="1016" t="n"/>
      <c r="CU134" s="1016" t="n"/>
      <c r="CV134" s="1016" t="n"/>
      <c r="CW134" s="1016" t="n"/>
      <c r="CX134" s="1017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2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3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5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7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38" t="n">
        <v>1</v>
      </c>
      <c r="S11" s="856" t="n"/>
      <c r="T11" s="1039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0" t="inlineStr">
        <is>
          <t>→</t>
        </is>
      </c>
      <c r="AM11" s="1041" t="n">
        <v>1</v>
      </c>
      <c r="AN11" s="856" t="n"/>
      <c r="AO11" s="1042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2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6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7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38" t="n"/>
      <c r="S12" s="856" t="n"/>
      <c r="T12" s="103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1" t="n"/>
      <c r="AN12" s="856" t="n"/>
      <c r="AO12" s="1042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2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7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38" t="n">
        <v>2</v>
      </c>
      <c r="S13" s="856" t="n"/>
      <c r="T13" s="1039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0" t="inlineStr">
        <is>
          <t>→</t>
        </is>
      </c>
      <c r="AM13" s="1041" t="n">
        <v>2</v>
      </c>
      <c r="AN13" s="856" t="n"/>
      <c r="AO13" s="1042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2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7" t="n"/>
      <c r="L14" s="732" t="n"/>
      <c r="M14" s="732" t="n"/>
      <c r="N14" s="732" t="n"/>
      <c r="O14" s="732" t="n"/>
      <c r="P14" s="732" t="n"/>
      <c r="Q14" s="858" t="n"/>
      <c r="R14" s="1038" t="n">
        <v>3</v>
      </c>
      <c r="S14" s="856" t="n"/>
      <c r="T14" s="1039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0" t="inlineStr">
        <is>
          <t>→</t>
        </is>
      </c>
      <c r="AM14" s="1041" t="n">
        <v>3</v>
      </c>
      <c r="AN14" s="856" t="n"/>
      <c r="AO14" s="1042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2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7" t="n"/>
      <c r="L15" s="732" t="n"/>
      <c r="M15" s="732" t="n"/>
      <c r="N15" s="732" t="n"/>
      <c r="O15" s="732" t="n"/>
      <c r="P15" s="732" t="n"/>
      <c r="Q15" s="858" t="n"/>
      <c r="R15" s="1038" t="n">
        <v>4</v>
      </c>
      <c r="S15" s="856" t="n"/>
      <c r="T15" s="1039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0" t="inlineStr">
        <is>
          <t>→</t>
        </is>
      </c>
      <c r="AM15" s="1041" t="n">
        <v>4</v>
      </c>
      <c r="AN15" s="856" t="n"/>
      <c r="AO15" s="1042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2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7" t="n"/>
      <c r="L16" s="732" t="n"/>
      <c r="M16" s="732" t="n"/>
      <c r="N16" s="732" t="n"/>
      <c r="O16" s="732" t="n"/>
      <c r="P16" s="732" t="n"/>
      <c r="Q16" s="858" t="n"/>
      <c r="R16" s="1038" t="n">
        <v>5</v>
      </c>
      <c r="S16" s="856" t="n"/>
      <c r="T16" s="1039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0" t="inlineStr">
        <is>
          <t>→</t>
        </is>
      </c>
      <c r="AM16" s="1041" t="n">
        <v>5</v>
      </c>
      <c r="AN16" s="856" t="n"/>
      <c r="AO16" s="1042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2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7" t="n"/>
      <c r="L17" s="732" t="n"/>
      <c r="M17" s="732" t="n"/>
      <c r="N17" s="732" t="n"/>
      <c r="O17" s="732" t="n"/>
      <c r="P17" s="732" t="n"/>
      <c r="Q17" s="858" t="n"/>
      <c r="R17" s="1038" t="n">
        <v>6</v>
      </c>
      <c r="S17" s="856" t="n"/>
      <c r="T17" s="1039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0" t="inlineStr">
        <is>
          <t>→</t>
        </is>
      </c>
      <c r="AM17" s="1041" t="n">
        <v>6</v>
      </c>
      <c r="AN17" s="856" t="n"/>
      <c r="AO17" s="1042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2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7" t="n"/>
      <c r="L18" s="732" t="n"/>
      <c r="M18" s="732" t="n"/>
      <c r="N18" s="732" t="n"/>
      <c r="O18" s="732" t="n"/>
      <c r="P18" s="732" t="n"/>
      <c r="Q18" s="858" t="n"/>
      <c r="R18" s="1038" t="n"/>
      <c r="S18" s="856" t="n"/>
      <c r="T18" s="1039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1" t="n"/>
      <c r="AN18" s="856" t="n"/>
      <c r="AO18" s="1042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7" t="n"/>
      <c r="L19" s="732" t="n"/>
      <c r="M19" s="732" t="n"/>
      <c r="N19" s="732" t="n"/>
      <c r="O19" s="732" t="n"/>
      <c r="P19" s="732" t="n"/>
      <c r="Q19" s="858" t="n"/>
      <c r="R19" s="1038" t="n">
        <v>7</v>
      </c>
      <c r="S19" s="856" t="n"/>
      <c r="T19" s="1039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0" t="inlineStr">
        <is>
          <t>→</t>
        </is>
      </c>
      <c r="AM19" s="1041" t="n">
        <v>7</v>
      </c>
      <c r="AN19" s="856" t="n"/>
      <c r="AO19" s="1042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2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7" t="n"/>
      <c r="L20" s="732" t="n"/>
      <c r="M20" s="732" t="n"/>
      <c r="N20" s="732" t="n"/>
      <c r="O20" s="732" t="n"/>
      <c r="P20" s="732" t="n"/>
      <c r="Q20" s="858" t="n"/>
      <c r="R20" s="1038" t="n">
        <v>8</v>
      </c>
      <c r="S20" s="856" t="n"/>
      <c r="T20" s="1039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0" t="inlineStr">
        <is>
          <t>→</t>
        </is>
      </c>
      <c r="AM20" s="1041" t="n">
        <v>8</v>
      </c>
      <c r="AN20" s="856" t="n"/>
      <c r="AO20" s="1042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2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7" t="n"/>
      <c r="L21" s="732" t="n"/>
      <c r="M21" s="732" t="n"/>
      <c r="N21" s="732" t="n"/>
      <c r="O21" s="732" t="n"/>
      <c r="P21" s="732" t="n"/>
      <c r="Q21" s="858" t="n"/>
      <c r="R21" s="1038" t="n">
        <v>9</v>
      </c>
      <c r="S21" s="856" t="n"/>
      <c r="T21" s="1039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0" t="inlineStr">
        <is>
          <t>→</t>
        </is>
      </c>
      <c r="AM21" s="1041" t="n">
        <v>9</v>
      </c>
      <c r="AN21" s="856" t="n"/>
      <c r="AO21" s="1042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2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7" t="n"/>
      <c r="L22" s="732" t="n"/>
      <c r="M22" s="732" t="n"/>
      <c r="N22" s="732" t="n"/>
      <c r="O22" s="732" t="n"/>
      <c r="P22" s="732" t="n"/>
      <c r="Q22" s="858" t="n"/>
      <c r="R22" s="1038" t="n">
        <v>10</v>
      </c>
      <c r="S22" s="856" t="n"/>
      <c r="T22" s="1039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0" t="inlineStr">
        <is>
          <t>→</t>
        </is>
      </c>
      <c r="AM22" s="1041" t="n">
        <v>10</v>
      </c>
      <c r="AN22" s="856" t="n"/>
      <c r="AO22" s="1042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2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1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2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2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2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3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4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5" t="inlineStr">
        <is>
          <t>Dummy table: rows of the parts of the file for 'APPOLE'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7" t="n"/>
      <c r="L27" s="732" t="n"/>
      <c r="M27" s="732" t="n"/>
      <c r="N27" s="732" t="n"/>
      <c r="O27" s="732" t="n"/>
      <c r="P27" s="732" t="n"/>
      <c r="Q27" s="858" t="n"/>
      <c r="R27" s="1038" t="n"/>
      <c r="S27" s="856" t="n"/>
      <c r="T27" s="103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1" t="n">
        <v>1</v>
      </c>
      <c r="AN27" s="856" t="n"/>
      <c r="AO27" s="1042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2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3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4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7" t="n"/>
      <c r="L28" s="732" t="n"/>
      <c r="M28" s="732" t="n"/>
      <c r="N28" s="732" t="n"/>
      <c r="O28" s="732" t="n"/>
      <c r="P28" s="732" t="n"/>
      <c r="Q28" s="858" t="n"/>
      <c r="R28" s="1038" t="n"/>
      <c r="S28" s="856" t="n"/>
      <c r="T28" s="103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1" t="n">
        <v>2</v>
      </c>
      <c r="AN28" s="856" t="n"/>
      <c r="AO28" s="1042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2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3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4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7" t="n"/>
      <c r="L29" s="732" t="n"/>
      <c r="M29" s="732" t="n"/>
      <c r="N29" s="732" t="n"/>
      <c r="O29" s="732" t="n"/>
      <c r="P29" s="732" t="n"/>
      <c r="Q29" s="858" t="n"/>
      <c r="R29" s="1038" t="n"/>
      <c r="S29" s="856" t="n"/>
      <c r="T29" s="103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1" t="n">
        <v>3</v>
      </c>
      <c r="AN29" s="856" t="n"/>
      <c r="AO29" s="1042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2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4" t="inlineStr">
        <is>
          <t>'APPOLE'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7" t="n"/>
      <c r="L30" s="732" t="n"/>
      <c r="M30" s="732" t="n"/>
      <c r="N30" s="732" t="n"/>
      <c r="O30" s="732" t="n"/>
      <c r="P30" s="732" t="n"/>
      <c r="Q30" s="858" t="n"/>
      <c r="R30" s="1038" t="n"/>
      <c r="S30" s="856" t="n"/>
      <c r="T30" s="103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1" t="n">
        <v>4</v>
      </c>
      <c r="AN30" s="856" t="n"/>
      <c r="AO30" s="1042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2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7" t="n"/>
      <c r="L31" s="732" t="n"/>
      <c r="M31" s="732" t="n"/>
      <c r="N31" s="732" t="n"/>
      <c r="O31" s="732" t="n"/>
      <c r="P31" s="732" t="n"/>
      <c r="Q31" s="858" t="n"/>
      <c r="R31" s="1038" t="n"/>
      <c r="S31" s="856" t="n"/>
      <c r="T31" s="103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1" t="n">
        <v>5</v>
      </c>
      <c r="AN31" s="856" t="n"/>
      <c r="AO31" s="1042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2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7" t="n"/>
      <c r="L32" s="732" t="n"/>
      <c r="M32" s="732" t="n"/>
      <c r="N32" s="732" t="n"/>
      <c r="O32" s="732" t="n"/>
      <c r="P32" s="732" t="n"/>
      <c r="Q32" s="858" t="n"/>
      <c r="R32" s="1038" t="n"/>
      <c r="S32" s="856" t="n"/>
      <c r="T32" s="103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1" t="n">
        <v>6</v>
      </c>
      <c r="AN32" s="856" t="n"/>
      <c r="AO32" s="1042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2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7" t="n"/>
      <c r="L33" s="732" t="n"/>
      <c r="M33" s="732" t="n"/>
      <c r="N33" s="732" t="n"/>
      <c r="O33" s="732" t="n"/>
      <c r="P33" s="732" t="n"/>
      <c r="Q33" s="858" t="n"/>
      <c r="R33" s="1038" t="n"/>
      <c r="S33" s="856" t="n"/>
      <c r="T33" s="103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1" t="n">
        <v>7</v>
      </c>
      <c r="AN33" s="856" t="n"/>
      <c r="AO33" s="1042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2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7" t="n"/>
      <c r="L34" s="732" t="n"/>
      <c r="M34" s="732" t="n"/>
      <c r="N34" s="732" t="n"/>
      <c r="O34" s="732" t="n"/>
      <c r="P34" s="732" t="n"/>
      <c r="Q34" s="858" t="n"/>
      <c r="R34" s="1038" t="n"/>
      <c r="S34" s="856" t="n"/>
      <c r="T34" s="103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1" t="n">
        <v>8</v>
      </c>
      <c r="AN34" s="856" t="n"/>
      <c r="AO34" s="1042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2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7" t="n"/>
      <c r="L35" s="732" t="n"/>
      <c r="M35" s="732" t="n"/>
      <c r="N35" s="732" t="n"/>
      <c r="O35" s="732" t="n"/>
      <c r="P35" s="732" t="n"/>
      <c r="Q35" s="858" t="n"/>
      <c r="R35" s="1038" t="n"/>
      <c r="S35" s="856" t="n"/>
      <c r="T35" s="103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1" t="n">
        <v>9</v>
      </c>
      <c r="AN35" s="856" t="n"/>
      <c r="AO35" s="1042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2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7" t="n"/>
      <c r="L36" s="732" t="n"/>
      <c r="M36" s="732" t="n"/>
      <c r="N36" s="732" t="n"/>
      <c r="O36" s="732" t="n"/>
      <c r="P36" s="732" t="n"/>
      <c r="Q36" s="858" t="n"/>
      <c r="R36" s="1038" t="n"/>
      <c r="S36" s="856" t="n"/>
      <c r="T36" s="103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1" t="n">
        <v>10</v>
      </c>
      <c r="AN36" s="856" t="n"/>
      <c r="AO36" s="1042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2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7" t="n"/>
      <c r="L37" s="732" t="n"/>
      <c r="M37" s="732" t="n"/>
      <c r="N37" s="732" t="n"/>
      <c r="O37" s="732" t="n"/>
      <c r="P37" s="732" t="n"/>
      <c r="Q37" s="858" t="n"/>
      <c r="R37" s="1038" t="n"/>
      <c r="S37" s="856" t="n"/>
      <c r="T37" s="103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1" t="n">
        <v>11</v>
      </c>
      <c r="AN37" s="856" t="n"/>
      <c r="AO37" s="1042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2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2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3" t="n"/>
      <c r="CY45" s="941" t="n"/>
    </row>
    <row r="46" ht="11.1" customFormat="1" customHeight="1" s="806">
      <c r="A46" s="941" t="n"/>
      <c r="B46" s="102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3" t="n"/>
      <c r="CY46" s="941" t="n"/>
    </row>
    <row r="47" ht="11.1" customFormat="1" customHeight="1" s="806">
      <c r="A47" s="941" t="n"/>
      <c r="B47" s="102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3" t="n"/>
      <c r="CY47" s="941" t="n"/>
    </row>
    <row r="48" ht="11.1" customFormat="1" customHeight="1" s="806">
      <c r="A48" s="1022" t="n"/>
      <c r="B48" s="1026" t="n"/>
      <c r="C48" s="1027" t="n"/>
      <c r="D48" s="1027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7" t="n"/>
      <c r="CD48" s="1027" t="n"/>
      <c r="CE48" s="1027" t="n"/>
      <c r="CF48" s="1027" t="n"/>
      <c r="CG48" s="1027" t="n"/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2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5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6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7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38" t="n"/>
      <c r="S52" s="856" t="n"/>
      <c r="T52" s="103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1" t="n">
        <v>1</v>
      </c>
      <c r="AN52" s="856" t="n"/>
      <c r="AO52" s="1042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2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4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7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38" t="n"/>
      <c r="S53" s="856" t="n"/>
      <c r="T53" s="103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1" t="n"/>
      <c r="AN53" s="856" t="n"/>
      <c r="AO53" s="1042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2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4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7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38" t="n"/>
      <c r="S54" s="856" t="n"/>
      <c r="T54" s="103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1" t="n">
        <v>2</v>
      </c>
      <c r="AN54" s="856" t="n"/>
      <c r="AO54" s="1042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2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4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7" t="n"/>
      <c r="L55" s="732" t="n"/>
      <c r="M55" s="732" t="n"/>
      <c r="N55" s="732" t="n"/>
      <c r="O55" s="732" t="n"/>
      <c r="P55" s="732" t="n"/>
      <c r="Q55" s="858" t="n"/>
      <c r="R55" s="1038" t="n"/>
      <c r="S55" s="856" t="n"/>
      <c r="T55" s="103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1" t="n"/>
      <c r="AN55" s="856" t="n"/>
      <c r="AO55" s="104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2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4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7" t="n"/>
      <c r="L56" s="732" t="n"/>
      <c r="M56" s="732" t="n"/>
      <c r="N56" s="732" t="n"/>
      <c r="O56" s="732" t="n"/>
      <c r="P56" s="732" t="n"/>
      <c r="Q56" s="858" t="n"/>
      <c r="R56" s="1038" t="n"/>
      <c r="S56" s="856" t="n"/>
      <c r="T56" s="103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1" t="n">
        <v>3</v>
      </c>
      <c r="AN56" s="856" t="n"/>
      <c r="AO56" s="1042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2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4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7" t="n"/>
      <c r="L57" s="732" t="n"/>
      <c r="M57" s="732" t="n"/>
      <c r="N57" s="732" t="n"/>
      <c r="O57" s="732" t="n"/>
      <c r="P57" s="732" t="n"/>
      <c r="Q57" s="858" t="n"/>
      <c r="R57" s="1038" t="n"/>
      <c r="S57" s="856" t="n"/>
      <c r="T57" s="103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1" t="n">
        <v>4</v>
      </c>
      <c r="AN57" s="856" t="n"/>
      <c r="AO57" s="1042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4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7" t="n"/>
      <c r="L58" s="732" t="n"/>
      <c r="M58" s="732" t="n"/>
      <c r="N58" s="732" t="n"/>
      <c r="O58" s="732" t="n"/>
      <c r="P58" s="732" t="n"/>
      <c r="Q58" s="858" t="n"/>
      <c r="R58" s="1038" t="n"/>
      <c r="S58" s="856" t="n"/>
      <c r="T58" s="103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1" t="n">
        <v>5</v>
      </c>
      <c r="AN58" s="856" t="n"/>
      <c r="AO58" s="1042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4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7" t="n"/>
      <c r="L59" s="732" t="n"/>
      <c r="M59" s="732" t="n"/>
      <c r="N59" s="732" t="n"/>
      <c r="O59" s="732" t="n"/>
      <c r="P59" s="732" t="n"/>
      <c r="Q59" s="858" t="n"/>
      <c r="R59" s="1038" t="n"/>
      <c r="S59" s="856" t="n"/>
      <c r="T59" s="103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1" t="n">
        <v>6</v>
      </c>
      <c r="AN59" s="856" t="n"/>
      <c r="AO59" s="1042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2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4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7" t="n"/>
      <c r="L60" s="732" t="n"/>
      <c r="M60" s="732" t="n"/>
      <c r="N60" s="732" t="n"/>
      <c r="O60" s="732" t="n"/>
      <c r="P60" s="732" t="n"/>
      <c r="Q60" s="858" t="n"/>
      <c r="R60" s="1038" t="n"/>
      <c r="S60" s="856" t="n"/>
      <c r="T60" s="103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1" t="n">
        <v>7</v>
      </c>
      <c r="AN60" s="856" t="n"/>
      <c r="AO60" s="1042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4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7" t="n"/>
      <c r="L61" s="732" t="n"/>
      <c r="M61" s="732" t="n"/>
      <c r="N61" s="732" t="n"/>
      <c r="O61" s="732" t="n"/>
      <c r="P61" s="732" t="n"/>
      <c r="Q61" s="858" t="n"/>
      <c r="R61" s="1038" t="n"/>
      <c r="S61" s="856" t="n"/>
      <c r="T61" s="103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1" t="n">
        <v>8</v>
      </c>
      <c r="AN61" s="856" t="n"/>
      <c r="AO61" s="1042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4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7" t="n"/>
      <c r="L62" s="732" t="n"/>
      <c r="M62" s="732" t="n"/>
      <c r="N62" s="732" t="n"/>
      <c r="O62" s="732" t="n"/>
      <c r="P62" s="732" t="n"/>
      <c r="Q62" s="858" t="n"/>
      <c r="R62" s="1038" t="n"/>
      <c r="S62" s="856" t="n"/>
      <c r="T62" s="103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1" t="n">
        <v>9</v>
      </c>
      <c r="AN62" s="856" t="n"/>
      <c r="AO62" s="1042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4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7" t="n"/>
      <c r="L63" s="732" t="n"/>
      <c r="M63" s="732" t="n"/>
      <c r="N63" s="732" t="n"/>
      <c r="O63" s="732" t="n"/>
      <c r="P63" s="732" t="n"/>
      <c r="Q63" s="858" t="n"/>
      <c r="R63" s="1038" t="n"/>
      <c r="S63" s="856" t="n"/>
      <c r="T63" s="103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1" t="n">
        <v>10</v>
      </c>
      <c r="AN63" s="856" t="n"/>
      <c r="AO63" s="1042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2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4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7" t="n"/>
      <c r="L64" s="732" t="n"/>
      <c r="M64" s="732" t="n"/>
      <c r="N64" s="732" t="n"/>
      <c r="O64" s="732" t="n"/>
      <c r="P64" s="732" t="n"/>
      <c r="Q64" s="858" t="n"/>
      <c r="R64" s="1038" t="n"/>
      <c r="S64" s="856" t="n"/>
      <c r="T64" s="103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1" t="n"/>
      <c r="AN64" s="856" t="n"/>
      <c r="AO64" s="1042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4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7" t="n"/>
      <c r="L65" s="732" t="n"/>
      <c r="M65" s="732" t="n"/>
      <c r="N65" s="732" t="n"/>
      <c r="O65" s="732" t="n"/>
      <c r="P65" s="732" t="n"/>
      <c r="Q65" s="858" t="n"/>
      <c r="R65" s="1038" t="n"/>
      <c r="S65" s="856" t="n"/>
      <c r="T65" s="103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1" t="n">
        <v>11</v>
      </c>
      <c r="AN65" s="856" t="n"/>
      <c r="AO65" s="1042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2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4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7" t="n"/>
      <c r="L66" s="732" t="n"/>
      <c r="M66" s="732" t="n"/>
      <c r="N66" s="732" t="n"/>
      <c r="O66" s="732" t="n"/>
      <c r="P66" s="732" t="n"/>
      <c r="Q66" s="858" t="n"/>
      <c r="R66" s="1038" t="n"/>
      <c r="S66" s="856" t="n"/>
      <c r="T66" s="103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1" t="n">
        <v>12</v>
      </c>
      <c r="AN66" s="856" t="n"/>
      <c r="AO66" s="1042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4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7" t="n"/>
      <c r="L67" s="732" t="n"/>
      <c r="M67" s="732" t="n"/>
      <c r="N67" s="732" t="n"/>
      <c r="O67" s="732" t="n"/>
      <c r="P67" s="732" t="n"/>
      <c r="Q67" s="858" t="n"/>
      <c r="R67" s="1038" t="n"/>
      <c r="S67" s="856" t="n"/>
      <c r="T67" s="103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1" t="n">
        <v>13</v>
      </c>
      <c r="AN67" s="856" t="n"/>
      <c r="AO67" s="1042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4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7" t="n"/>
      <c r="L68" s="732" t="n"/>
      <c r="M68" s="732" t="n"/>
      <c r="N68" s="732" t="n"/>
      <c r="O68" s="732" t="n"/>
      <c r="P68" s="732" t="n"/>
      <c r="Q68" s="858" t="n"/>
      <c r="R68" s="1038" t="n"/>
      <c r="S68" s="856" t="n"/>
      <c r="T68" s="103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1" t="n">
        <v>14</v>
      </c>
      <c r="AN68" s="856" t="n"/>
      <c r="AO68" s="1042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2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4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7" t="n"/>
      <c r="L69" s="732" t="n"/>
      <c r="M69" s="732" t="n"/>
      <c r="N69" s="732" t="n"/>
      <c r="O69" s="732" t="n"/>
      <c r="P69" s="732" t="n"/>
      <c r="Q69" s="858" t="n"/>
      <c r="R69" s="1038" t="n"/>
      <c r="S69" s="856" t="n"/>
      <c r="T69" s="103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1" t="n">
        <v>15</v>
      </c>
      <c r="AN69" s="856" t="n"/>
      <c r="AO69" s="1042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2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4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7" t="n"/>
      <c r="L70" s="732" t="n"/>
      <c r="M70" s="732" t="n"/>
      <c r="N70" s="732" t="n"/>
      <c r="O70" s="732" t="n"/>
      <c r="P70" s="732" t="n"/>
      <c r="Q70" s="858" t="n"/>
      <c r="R70" s="1038" t="n"/>
      <c r="S70" s="856" t="n"/>
      <c r="T70" s="103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1" t="n">
        <v>16</v>
      </c>
      <c r="AN70" s="856" t="n"/>
      <c r="AO70" s="1042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2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4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7" t="n"/>
      <c r="L71" s="732" t="n"/>
      <c r="M71" s="732" t="n"/>
      <c r="N71" s="732" t="n"/>
      <c r="O71" s="732" t="n"/>
      <c r="P71" s="732" t="n"/>
      <c r="Q71" s="858" t="n"/>
      <c r="R71" s="1038" t="n"/>
      <c r="S71" s="856" t="n"/>
      <c r="T71" s="103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1" t="n">
        <v>17</v>
      </c>
      <c r="AN71" s="856" t="n"/>
      <c r="AO71" s="1042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2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4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2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3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4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5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7" t="n"/>
      <c r="L76" s="732" t="n"/>
      <c r="M76" s="732" t="n"/>
      <c r="N76" s="732" t="n"/>
      <c r="O76" s="732" t="n"/>
      <c r="P76" s="732" t="n"/>
      <c r="Q76" s="858" t="n"/>
      <c r="R76" s="1038" t="n"/>
      <c r="S76" s="856" t="n"/>
      <c r="T76" s="103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1" t="n">
        <v>1</v>
      </c>
      <c r="AN76" s="856" t="n"/>
      <c r="AO76" s="1042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2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4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7" t="n"/>
      <c r="L77" s="732" t="n"/>
      <c r="M77" s="732" t="n"/>
      <c r="N77" s="732" t="n"/>
      <c r="O77" s="732" t="n"/>
      <c r="P77" s="732" t="n"/>
      <c r="Q77" s="858" t="n"/>
      <c r="R77" s="1038" t="n"/>
      <c r="S77" s="856" t="n"/>
      <c r="T77" s="103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1" t="n">
        <v>2</v>
      </c>
      <c r="AN77" s="856" t="n"/>
      <c r="AO77" s="1042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2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4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7" t="n"/>
      <c r="L78" s="732" t="n"/>
      <c r="M78" s="732" t="n"/>
      <c r="N78" s="732" t="n"/>
      <c r="O78" s="732" t="n"/>
      <c r="P78" s="732" t="n"/>
      <c r="Q78" s="858" t="n"/>
      <c r="R78" s="1038" t="n"/>
      <c r="S78" s="856" t="n"/>
      <c r="T78" s="103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1" t="n">
        <v>3</v>
      </c>
      <c r="AN78" s="856" t="n"/>
      <c r="AO78" s="1042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2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4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7" t="n"/>
      <c r="L79" s="732" t="n"/>
      <c r="M79" s="732" t="n"/>
      <c r="N79" s="732" t="n"/>
      <c r="O79" s="732" t="n"/>
      <c r="P79" s="732" t="n"/>
      <c r="Q79" s="858" t="n"/>
      <c r="R79" s="1038" t="n"/>
      <c r="S79" s="856" t="n"/>
      <c r="T79" s="103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1" t="n">
        <v>4</v>
      </c>
      <c r="AN79" s="856" t="n"/>
      <c r="AO79" s="1042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2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4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7" t="n"/>
      <c r="L80" s="732" t="n"/>
      <c r="M80" s="732" t="n"/>
      <c r="N80" s="732" t="n"/>
      <c r="O80" s="732" t="n"/>
      <c r="P80" s="732" t="n"/>
      <c r="Q80" s="858" t="n"/>
      <c r="R80" s="1038" t="n"/>
      <c r="S80" s="856" t="n"/>
      <c r="T80" s="103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1" t="n">
        <v>5</v>
      </c>
      <c r="AN80" s="856" t="n"/>
      <c r="AO80" s="1042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2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4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7" t="n"/>
      <c r="L81" s="732" t="n"/>
      <c r="M81" s="732" t="n"/>
      <c r="N81" s="732" t="n"/>
      <c r="O81" s="732" t="n"/>
      <c r="P81" s="732" t="n"/>
      <c r="Q81" s="858" t="n"/>
      <c r="R81" s="1038" t="n"/>
      <c r="S81" s="856" t="n"/>
      <c r="T81" s="103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1" t="n">
        <v>6</v>
      </c>
      <c r="AN81" s="856" t="n"/>
      <c r="AO81" s="1042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2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4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7" t="n"/>
      <c r="L82" s="732" t="n"/>
      <c r="M82" s="732" t="n"/>
      <c r="N82" s="732" t="n"/>
      <c r="O82" s="732" t="n"/>
      <c r="P82" s="732" t="n"/>
      <c r="Q82" s="858" t="n"/>
      <c r="R82" s="1038" t="n"/>
      <c r="S82" s="856" t="n"/>
      <c r="T82" s="103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1" t="n">
        <v>7</v>
      </c>
      <c r="AN82" s="856" t="n"/>
      <c r="AO82" s="1042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2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4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7" t="n"/>
      <c r="L83" s="732" t="n"/>
      <c r="M83" s="732" t="n"/>
      <c r="N83" s="732" t="n"/>
      <c r="O83" s="732" t="n"/>
      <c r="P83" s="732" t="n"/>
      <c r="Q83" s="858" t="n"/>
      <c r="R83" s="1038" t="n"/>
      <c r="S83" s="856" t="n"/>
      <c r="T83" s="103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1" t="n">
        <v>8</v>
      </c>
      <c r="AN83" s="856" t="n"/>
      <c r="AO83" s="1042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2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4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7" t="n"/>
      <c r="L84" s="732" t="n"/>
      <c r="M84" s="732" t="n"/>
      <c r="N84" s="732" t="n"/>
      <c r="O84" s="732" t="n"/>
      <c r="P84" s="732" t="n"/>
      <c r="Q84" s="858" t="n"/>
      <c r="R84" s="1038" t="n"/>
      <c r="S84" s="856" t="n"/>
      <c r="T84" s="103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1" t="n">
        <v>9</v>
      </c>
      <c r="AN84" s="856" t="n"/>
      <c r="AO84" s="1042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2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4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7" t="n"/>
      <c r="L85" s="732" t="n"/>
      <c r="M85" s="732" t="n"/>
      <c r="N85" s="732" t="n"/>
      <c r="O85" s="732" t="n"/>
      <c r="P85" s="732" t="n"/>
      <c r="Q85" s="858" t="n"/>
      <c r="R85" s="1038" t="n"/>
      <c r="S85" s="856" t="n"/>
      <c r="T85" s="103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1" t="n">
        <v>10</v>
      </c>
      <c r="AN85" s="856" t="n"/>
      <c r="AO85" s="1042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2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4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7" t="n"/>
      <c r="L86" s="732" t="n"/>
      <c r="M86" s="732" t="n"/>
      <c r="N86" s="732" t="n"/>
      <c r="O86" s="732" t="n"/>
      <c r="P86" s="732" t="n"/>
      <c r="Q86" s="858" t="n"/>
      <c r="R86" s="1038" t="n"/>
      <c r="S86" s="856" t="n"/>
      <c r="T86" s="103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1" t="n">
        <v>11</v>
      </c>
      <c r="AN86" s="856" t="n"/>
      <c r="AO86" s="1042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2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4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6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7" t="n"/>
      <c r="L87" s="732" t="n"/>
      <c r="M87" s="732" t="n"/>
      <c r="N87" s="732" t="n"/>
      <c r="O87" s="732" t="n"/>
      <c r="P87" s="732" t="n"/>
      <c r="Q87" s="858" t="n"/>
      <c r="R87" s="1038" t="n"/>
      <c r="S87" s="856" t="n"/>
      <c r="T87" s="1039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1" t="n">
        <v>12</v>
      </c>
      <c r="AN87" s="856" t="n"/>
      <c r="AO87" s="1042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2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3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4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6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7" t="n"/>
      <c r="L88" s="732" t="n"/>
      <c r="M88" s="732" t="n"/>
      <c r="N88" s="732" t="n"/>
      <c r="O88" s="732" t="n"/>
      <c r="P88" s="732" t="n"/>
      <c r="Q88" s="858" t="n"/>
      <c r="R88" s="1038" t="n"/>
      <c r="S88" s="856" t="n"/>
      <c r="T88" s="1039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1" t="n">
        <v>13</v>
      </c>
      <c r="AN88" s="856" t="n"/>
      <c r="AO88" s="1042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2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3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4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0" t="n"/>
      <c r="D89" s="1030" t="n"/>
      <c r="E89" s="1030" t="n"/>
      <c r="F89" s="1030" t="n"/>
      <c r="G89" s="1030" t="n"/>
      <c r="H89" s="1030" t="n"/>
      <c r="I89" s="1030" t="n"/>
      <c r="J89" s="1030" t="n"/>
      <c r="K89" s="1030" t="n"/>
      <c r="L89" s="1030" t="n"/>
      <c r="M89" s="1030" t="n"/>
      <c r="N89" s="1030" t="n"/>
      <c r="O89" s="1030" t="n"/>
      <c r="P89" s="1030" t="n"/>
      <c r="Q89" s="1030" t="n"/>
      <c r="R89" s="1030" t="n"/>
      <c r="S89" s="1030" t="n"/>
      <c r="T89" s="1030" t="n"/>
      <c r="U89" s="1030" t="n"/>
      <c r="V89" s="1030" t="n"/>
      <c r="W89" s="1030" t="n"/>
      <c r="X89" s="1030" t="n"/>
      <c r="Y89" s="1030" t="n"/>
      <c r="Z89" s="1030" t="n"/>
      <c r="AA89" s="1030" t="n"/>
      <c r="AB89" s="1030" t="n"/>
      <c r="AC89" s="1030" t="n"/>
      <c r="AD89" s="1030" t="n"/>
      <c r="AE89" s="1030" t="n"/>
      <c r="AF89" s="1030" t="n"/>
      <c r="AG89" s="1030" t="n"/>
      <c r="AH89" s="1030" t="n"/>
      <c r="AI89" s="1030" t="n"/>
      <c r="AJ89" s="1030" t="n"/>
      <c r="AK89" s="1030" t="n"/>
      <c r="AL89" s="1030" t="n"/>
      <c r="AM89" s="1030" t="n"/>
      <c r="AN89" s="1030" t="n"/>
      <c r="AO89" s="1030" t="n"/>
      <c r="AP89" s="1030" t="n"/>
      <c r="AQ89" s="1030" t="n"/>
      <c r="AR89" s="1030" t="n"/>
      <c r="AS89" s="1030" t="n"/>
      <c r="AT89" s="1030" t="n"/>
      <c r="AU89" s="1030" t="n"/>
      <c r="AV89" s="1030" t="n"/>
      <c r="AW89" s="1030" t="n"/>
      <c r="AX89" s="1030" t="n"/>
      <c r="AY89" s="1030" t="n"/>
      <c r="AZ89" s="1030" t="n"/>
      <c r="BA89" s="1030" t="n"/>
      <c r="BB89" s="1030" t="n"/>
      <c r="BC89" s="1030" t="n"/>
      <c r="BD89" s="1030" t="n"/>
      <c r="BE89" s="1030" t="n"/>
      <c r="BF89" s="1030" t="n"/>
      <c r="BG89" s="1030" t="n"/>
      <c r="BH89" s="1030" t="n"/>
      <c r="BI89" s="1030" t="n"/>
      <c r="BJ89" s="1030" t="n"/>
      <c r="BK89" s="1030" t="n"/>
      <c r="BL89" s="1030" t="n"/>
      <c r="BM89" s="1030" t="n"/>
      <c r="BN89" s="1030" t="n"/>
      <c r="BO89" s="1030" t="n"/>
      <c r="BP89" s="1030" t="n"/>
      <c r="BQ89" s="1030" t="n"/>
      <c r="BR89" s="1030" t="n"/>
      <c r="BS89" s="1030" t="n"/>
      <c r="BT89" s="1030" t="n"/>
      <c r="BU89" s="1030" t="n"/>
      <c r="BV89" s="1030" t="n"/>
      <c r="BW89" s="1030" t="n"/>
      <c r="BX89" s="1030" t="n"/>
      <c r="BY89" s="1030" t="n"/>
      <c r="BZ89" s="1030" t="n"/>
      <c r="CA89" s="1030" t="n"/>
      <c r="CB89" s="1030" t="n"/>
      <c r="CC89" s="1030" t="n"/>
      <c r="CD89" s="1030" t="n"/>
      <c r="CE89" s="1030" t="n"/>
      <c r="CF89" s="1030" t="n"/>
      <c r="CG89" s="1030" t="n"/>
      <c r="CH89" s="1030" t="n"/>
      <c r="CI89" s="1030" t="n"/>
      <c r="CJ89" s="1030" t="n"/>
      <c r="CK89" s="1030" t="n"/>
      <c r="CL89" s="1030" t="n"/>
      <c r="CM89" s="1030" t="n"/>
      <c r="CN89" s="1030" t="n"/>
      <c r="CO89" s="1030" t="n"/>
      <c r="CP89" s="1030" t="n"/>
      <c r="CQ89" s="1030" t="n"/>
      <c r="CR89" s="1030" t="n"/>
      <c r="CS89" s="1030" t="n"/>
      <c r="CT89" s="1030" t="n"/>
      <c r="CU89" s="1030" t="n"/>
      <c r="CV89" s="1030" t="n"/>
      <c r="CW89" s="1030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5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7" t="n"/>
      <c r="L93" s="732" t="n"/>
      <c r="M93" s="732" t="n"/>
      <c r="N93" s="732" t="n"/>
      <c r="O93" s="732" t="n"/>
      <c r="P93" s="732" t="n"/>
      <c r="Q93" s="858" t="n"/>
      <c r="R93" s="1038" t="n"/>
      <c r="S93" s="856" t="n"/>
      <c r="T93" s="103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1" t="n">
        <v>1</v>
      </c>
      <c r="AN93" s="856" t="n"/>
      <c r="AO93" s="1042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2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3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4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7" t="n"/>
      <c r="L94" s="732" t="n"/>
      <c r="M94" s="732" t="n"/>
      <c r="N94" s="732" t="n"/>
      <c r="O94" s="732" t="n"/>
      <c r="P94" s="732" t="n"/>
      <c r="Q94" s="858" t="n"/>
      <c r="R94" s="1038" t="n"/>
      <c r="S94" s="856" t="n"/>
      <c r="T94" s="103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1" t="n">
        <v>2</v>
      </c>
      <c r="AN94" s="856" t="n"/>
      <c r="AO94" s="1042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2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4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7" t="n"/>
      <c r="L95" s="732" t="n"/>
      <c r="M95" s="732" t="n"/>
      <c r="N95" s="732" t="n"/>
      <c r="O95" s="732" t="n"/>
      <c r="P95" s="732" t="n"/>
      <c r="Q95" s="858" t="n"/>
      <c r="R95" s="1038" t="n"/>
      <c r="S95" s="856" t="n"/>
      <c r="T95" s="103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1" t="n">
        <v>3</v>
      </c>
      <c r="AN95" s="856" t="n"/>
      <c r="AO95" s="1042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2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4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7" t="n"/>
      <c r="L96" s="732" t="n"/>
      <c r="M96" s="732" t="n"/>
      <c r="N96" s="732" t="n"/>
      <c r="O96" s="732" t="n"/>
      <c r="P96" s="732" t="n"/>
      <c r="Q96" s="858" t="n"/>
      <c r="R96" s="1038" t="n"/>
      <c r="S96" s="856" t="n"/>
      <c r="T96" s="103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1" t="n">
        <v>4</v>
      </c>
      <c r="AN96" s="856" t="n"/>
      <c r="AO96" s="1042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2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4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7" t="n"/>
      <c r="L97" s="732" t="n"/>
      <c r="M97" s="732" t="n"/>
      <c r="N97" s="732" t="n"/>
      <c r="O97" s="732" t="n"/>
      <c r="P97" s="732" t="n"/>
      <c r="Q97" s="858" t="n"/>
      <c r="R97" s="1038" t="n"/>
      <c r="S97" s="856" t="n"/>
      <c r="T97" s="103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1" t="n"/>
      <c r="AN97" s="856" t="n"/>
      <c r="AO97" s="1042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2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4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5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7" t="n"/>
      <c r="CY130" s="997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No Sync and are sent with CROSSDOCK_FLAG 'N' and without destinations; AP POLE changes the status of the part to inactive.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4.2 Field Rules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Fields, source and business rule: see Interface Data (General Description). The field names on the side of the target follow the target layout.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Sum of CASE_DAY of the records of a part = MAX_CASE_DAY (guaranteed by XD05 and the save checks of XD01 / XD03).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PERIOD is always the ongoing period; past periods are never sent.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6" t="inlineStr">
        <is>
          <t>4.3 Status and Dummy Table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6" t="inlineStr">
        <is>
          <t>-</t>
        </is>
      </c>
      <c r="D23" s="1046" t="inlineStr">
        <is>
          <t>TB_R_CROSSDOCK_IF_RESULT is a dummy table that keeps the send status per part and target; the real output of XD07 is the interface file sent to AP POLE.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A part changed on XD01 or by upload while it is being sent gets SYNC_STATUS = No Sync, so the newer data is sent by the next [Sync].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6" t="inlineStr">
        <is>
          <t>4.4 Open Points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Field names on the side of the target follow the target layout (not detailed in this document).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7" t="n"/>
      <c r="C48" s="1048" t="n"/>
      <c r="D48" s="1048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48" t="n"/>
      <c r="AL48" s="1048" t="n"/>
      <c r="AM48" s="1048" t="n"/>
      <c r="AN48" s="1048" t="n"/>
      <c r="AO48" s="1048" t="n"/>
      <c r="AP48" s="1048" t="n"/>
      <c r="AQ48" s="1048" t="n"/>
      <c r="AR48" s="1048" t="n"/>
      <c r="AS48" s="1048" t="n"/>
      <c r="AT48" s="1048" t="n"/>
      <c r="AU48" s="1048" t="n"/>
      <c r="AV48" s="1048" t="n"/>
      <c r="AW48" s="1048" t="n"/>
      <c r="AX48" s="1048" t="n"/>
      <c r="AY48" s="1048" t="n"/>
      <c r="AZ48" s="1048" t="n"/>
      <c r="BA48" s="1048" t="n"/>
      <c r="BB48" s="1048" t="n"/>
      <c r="BC48" s="1048" t="n"/>
      <c r="BD48" s="1048" t="n"/>
      <c r="BE48" s="1048" t="n"/>
      <c r="BF48" s="1048" t="n"/>
      <c r="BG48" s="1048" t="n"/>
      <c r="BH48" s="1048" t="n"/>
      <c r="BI48" s="1048" t="n"/>
      <c r="BJ48" s="1048" t="n"/>
      <c r="BK48" s="1048" t="n"/>
      <c r="BL48" s="1048" t="n"/>
      <c r="BM48" s="1048" t="n"/>
      <c r="BN48" s="1048" t="n"/>
      <c r="BO48" s="1048" t="n"/>
      <c r="BP48" s="1048" t="n"/>
      <c r="BQ48" s="1048" t="n"/>
      <c r="BR48" s="1048" t="n"/>
      <c r="BS48" s="1048" t="n"/>
      <c r="BT48" s="1048" t="n"/>
      <c r="BU48" s="1048" t="n"/>
      <c r="BV48" s="1048" t="n"/>
      <c r="BW48" s="1048" t="n"/>
      <c r="BX48" s="1048" t="n"/>
      <c r="BY48" s="1048" t="n"/>
      <c r="BZ48" s="1048" t="n"/>
      <c r="CA48" s="1048" t="n"/>
      <c r="CB48" s="1048" t="n"/>
      <c r="CC48" s="1048" t="n"/>
      <c r="CD48" s="1048" t="n"/>
      <c r="CE48" s="1048" t="n"/>
      <c r="CF48" s="1048" t="n"/>
      <c r="CG48" s="1048" t="n"/>
      <c r="CH48" s="1048" t="n"/>
      <c r="CI48" s="1048" t="n"/>
      <c r="CJ48" s="1048" t="n"/>
      <c r="CK48" s="1048" t="n"/>
      <c r="CL48" s="1048" t="n"/>
      <c r="CM48" s="1048" t="n"/>
      <c r="CN48" s="1048" t="n"/>
      <c r="CO48" s="1048" t="n"/>
      <c r="CP48" s="1048" t="n"/>
      <c r="CQ48" s="1048" t="n"/>
      <c r="CR48" s="1048" t="n"/>
      <c r="CS48" s="1048" t="n"/>
      <c r="CT48" s="1048" t="n"/>
      <c r="CU48" s="1048" t="n"/>
      <c r="CV48" s="1048" t="n"/>
      <c r="CW48" s="1048" t="n"/>
      <c r="CX48" s="104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0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6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Info</t>
        </is>
      </c>
      <c r="AM9" s="957" t="n"/>
      <c r="AN9" s="957" t="n"/>
      <c r="AO9" s="957" t="n"/>
      <c r="AP9" s="955" t="n"/>
      <c r="AQ9" s="105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3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4" t="n"/>
      <c r="C10" s="973" t="n"/>
      <c r="D10" s="971" t="n"/>
      <c r="E10" s="1055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5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4" t="n"/>
      <c r="AM10" s="973" t="n"/>
      <c r="AN10" s="973" t="n"/>
      <c r="AO10" s="973" t="n"/>
      <c r="AP10" s="971" t="n"/>
      <c r="AQ10" s="1056" t="n"/>
      <c r="AR10" s="973" t="n"/>
      <c r="AS10" s="973" t="n"/>
      <c r="AT10" s="973" t="n"/>
      <c r="AU10" s="973" t="n"/>
      <c r="AV10" s="973" t="n"/>
      <c r="AW10" s="971" t="n"/>
      <c r="AX10" s="1057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7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4" t="n">
        <v>2</v>
      </c>
      <c r="C11" s="957" t="n"/>
      <c r="D11" s="955" t="n"/>
      <c r="E11" s="100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4" t="inlineStr">
        <is>
          <t>Info</t>
        </is>
      </c>
      <c r="AM11" s="957" t="n"/>
      <c r="AN11" s="957" t="n"/>
      <c r="AO11" s="957" t="n"/>
      <c r="AP11" s="955" t="n"/>
      <c r="AQ11" s="105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3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8" t="n"/>
      <c r="C12" s="962" t="n"/>
      <c r="D12" s="960" t="n"/>
      <c r="E12" s="1059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59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58" t="n"/>
      <c r="AM12" s="962" t="n"/>
      <c r="AN12" s="962" t="n"/>
      <c r="AO12" s="962" t="n"/>
      <c r="AP12" s="960" t="n"/>
      <c r="AQ12" s="1060" t="n"/>
      <c r="AR12" s="962" t="n"/>
      <c r="AS12" s="962" t="n"/>
      <c r="AT12" s="962" t="n"/>
      <c r="AU12" s="962" t="n"/>
      <c r="AV12" s="962" t="n"/>
      <c r="AW12" s="960" t="n"/>
      <c r="AX12" s="1061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1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4" t="n"/>
      <c r="C13" s="973" t="n"/>
      <c r="D13" s="971" t="n"/>
      <c r="E13" s="1055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5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4" t="n"/>
      <c r="AM13" s="973" t="n"/>
      <c r="AN13" s="973" t="n"/>
      <c r="AO13" s="973" t="n"/>
      <c r="AP13" s="971" t="n"/>
      <c r="AQ13" s="1056" t="n"/>
      <c r="AR13" s="973" t="n"/>
      <c r="AS13" s="973" t="n"/>
      <c r="AT13" s="973" t="n"/>
      <c r="AU13" s="973" t="n"/>
      <c r="AV13" s="973" t="n"/>
      <c r="AW13" s="971" t="n"/>
      <c r="AX13" s="1057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2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4" t="n">
        <v>3</v>
      </c>
      <c r="C14" s="957" t="n"/>
      <c r="D14" s="955" t="n"/>
      <c r="E14" s="1006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6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4" t="inlineStr">
        <is>
          <t>Error</t>
        </is>
      </c>
      <c r="AM14" s="957" t="n"/>
      <c r="AN14" s="957" t="n"/>
      <c r="AO14" s="957" t="n"/>
      <c r="AP14" s="955" t="n"/>
      <c r="AQ14" s="1053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3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3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4" t="n"/>
      <c r="C15" s="973" t="n"/>
      <c r="D15" s="971" t="n"/>
      <c r="E15" s="1055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5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4" t="n"/>
      <c r="AM15" s="973" t="n"/>
      <c r="AN15" s="973" t="n"/>
      <c r="AO15" s="973" t="n"/>
      <c r="AP15" s="971" t="n"/>
      <c r="AQ15" s="1056" t="n"/>
      <c r="AR15" s="973" t="n"/>
      <c r="AS15" s="973" t="n"/>
      <c r="AT15" s="973" t="n"/>
      <c r="AU15" s="973" t="n"/>
      <c r="AV15" s="973" t="n"/>
      <c r="AW15" s="971" t="n"/>
      <c r="AX15" s="1057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4" t="n">
        <v>4</v>
      </c>
      <c r="C16" s="957" t="n"/>
      <c r="D16" s="955" t="n"/>
      <c r="E16" s="1006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6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4" t="inlineStr">
        <is>
          <t>Error</t>
        </is>
      </c>
      <c r="AM16" s="957" t="n"/>
      <c r="AN16" s="957" t="n"/>
      <c r="AO16" s="957" t="n"/>
      <c r="AP16" s="955" t="n"/>
      <c r="AQ16" s="105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3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3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8" t="n"/>
      <c r="C17" s="962" t="n"/>
      <c r="D17" s="960" t="n"/>
      <c r="E17" s="1059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9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58" t="n"/>
      <c r="AM17" s="962" t="n"/>
      <c r="AN17" s="962" t="n"/>
      <c r="AO17" s="962" t="n"/>
      <c r="AP17" s="960" t="n"/>
      <c r="AQ17" s="1060" t="n"/>
      <c r="AR17" s="962" t="n"/>
      <c r="AS17" s="962" t="n"/>
      <c r="AT17" s="962" t="n"/>
      <c r="AU17" s="962" t="n"/>
      <c r="AV17" s="962" t="n"/>
      <c r="AW17" s="960" t="n"/>
      <c r="AX17" s="1061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1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4" t="n"/>
      <c r="C18" s="973" t="n"/>
      <c r="D18" s="971" t="n"/>
      <c r="E18" s="1055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5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4" t="n"/>
      <c r="AM18" s="973" t="n"/>
      <c r="AN18" s="973" t="n"/>
      <c r="AO18" s="973" t="n"/>
      <c r="AP18" s="971" t="n"/>
      <c r="AQ18" s="1056" t="n"/>
      <c r="AR18" s="973" t="n"/>
      <c r="AS18" s="973" t="n"/>
      <c r="AT18" s="973" t="n"/>
      <c r="AU18" s="973" t="n"/>
      <c r="AV18" s="973" t="n"/>
      <c r="AW18" s="971" t="n"/>
      <c r="AX18" s="1056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57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4" t="n">
        <v>5</v>
      </c>
      <c r="C19" s="957" t="n"/>
      <c r="D19" s="955" t="n"/>
      <c r="E19" s="1006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6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4" t="inlineStr">
        <is>
          <t>Critical</t>
        </is>
      </c>
      <c r="AM19" s="957" t="n"/>
      <c r="AN19" s="957" t="n"/>
      <c r="AO19" s="957" t="n"/>
      <c r="AP19" s="955" t="n"/>
      <c r="AQ19" s="105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3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3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4" t="n"/>
      <c r="C20" s="973" t="n"/>
      <c r="D20" s="971" t="n"/>
      <c r="E20" s="1055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5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4" t="n"/>
      <c r="AM20" s="973" t="n"/>
      <c r="AN20" s="973" t="n"/>
      <c r="AO20" s="973" t="n"/>
      <c r="AP20" s="971" t="n"/>
      <c r="AQ20" s="1056" t="n"/>
      <c r="AR20" s="973" t="n"/>
      <c r="AS20" s="973" t="n"/>
      <c r="AT20" s="973" t="n"/>
      <c r="AU20" s="973" t="n"/>
      <c r="AV20" s="973" t="n"/>
      <c r="AW20" s="971" t="n"/>
      <c r="AX20" s="1056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57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3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existing interface).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send ID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4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6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3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02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5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5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5" t="inlineStr">
        <is>
          <t>PK</t>
        </is>
      </c>
      <c r="AH52" s="952" t="n"/>
      <c r="AI52" s="951" t="n"/>
      <c r="AJ52" s="1065" t="inlineStr">
        <is>
          <t>Null</t>
        </is>
      </c>
      <c r="AK52" s="952" t="n"/>
      <c r="AL52" s="952" t="n"/>
      <c r="AM52" s="951" t="n"/>
      <c r="AN52" s="1065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5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6" t="inlineStr">
        <is>
          <t>Y</t>
        </is>
      </c>
      <c r="AH53" s="957" t="n"/>
      <c r="AI53" s="955" t="n"/>
      <c r="AJ53" s="1066" t="inlineStr">
        <is>
          <t>N</t>
        </is>
      </c>
      <c r="AK53" s="957" t="n"/>
      <c r="AL53" s="957" t="n"/>
      <c r="AM53" s="955" t="n"/>
      <c r="AN53" s="1005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5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5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6" t="inlineStr">
        <is>
          <t>Y</t>
        </is>
      </c>
      <c r="AH54" s="957" t="n"/>
      <c r="AI54" s="955" t="n"/>
      <c r="AJ54" s="1066" t="inlineStr">
        <is>
          <t>N</t>
        </is>
      </c>
      <c r="AK54" s="957" t="n"/>
      <c r="AL54" s="957" t="n"/>
      <c r="AM54" s="955" t="n"/>
      <c r="AN54" s="1005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5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5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6" t="inlineStr">
        <is>
          <t>Y</t>
        </is>
      </c>
      <c r="AH55" s="957" t="n"/>
      <c r="AI55" s="955" t="n"/>
      <c r="AJ55" s="1066" t="inlineStr">
        <is>
          <t>N</t>
        </is>
      </c>
      <c r="AK55" s="957" t="n"/>
      <c r="AL55" s="957" t="n"/>
      <c r="AM55" s="955" t="n"/>
      <c r="AN55" s="1005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5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5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6" t="n"/>
      <c r="AH56" s="957" t="n"/>
      <c r="AI56" s="955" t="n"/>
      <c r="AJ56" s="1066" t="inlineStr">
        <is>
          <t>N</t>
        </is>
      </c>
      <c r="AK56" s="957" t="n"/>
      <c r="AL56" s="957" t="n"/>
      <c r="AM56" s="955" t="n"/>
      <c r="AN56" s="1005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5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6" t="n"/>
      <c r="AH57" s="957" t="n"/>
      <c r="AI57" s="955" t="n"/>
      <c r="AJ57" s="1066" t="inlineStr">
        <is>
          <t>N</t>
        </is>
      </c>
      <c r="AK57" s="957" t="n"/>
      <c r="AL57" s="957" t="n"/>
      <c r="AM57" s="955" t="n"/>
      <c r="AN57" s="1005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5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5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6" t="n"/>
      <c r="AH58" s="957" t="n"/>
      <c r="AI58" s="955" t="n"/>
      <c r="AJ58" s="1066" t="inlineStr">
        <is>
          <t>N</t>
        </is>
      </c>
      <c r="AK58" s="957" t="n"/>
      <c r="AL58" s="957" t="n"/>
      <c r="AM58" s="955" t="n"/>
      <c r="AN58" s="1005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5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5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6" t="n"/>
      <c r="AH59" s="957" t="n"/>
      <c r="AI59" s="955" t="n"/>
      <c r="AJ59" s="1066" t="inlineStr">
        <is>
          <t>N</t>
        </is>
      </c>
      <c r="AK59" s="957" t="n"/>
      <c r="AL59" s="957" t="n"/>
      <c r="AM59" s="955" t="n"/>
      <c r="AN59" s="1005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1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1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67" t="n"/>
      <c r="AH60" s="982" t="n"/>
      <c r="AI60" s="980" t="n"/>
      <c r="AJ60" s="1067" t="inlineStr">
        <is>
          <t>N</t>
        </is>
      </c>
      <c r="AK60" s="982" t="n"/>
      <c r="AL60" s="982" t="n"/>
      <c r="AM60" s="980" t="n"/>
      <c r="AN60" s="1011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3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02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02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02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5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5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5" t="inlineStr">
        <is>
          <t>PK</t>
        </is>
      </c>
      <c r="AH66" s="952" t="n"/>
      <c r="AI66" s="951" t="n"/>
      <c r="AJ66" s="1065" t="inlineStr">
        <is>
          <t>Null</t>
        </is>
      </c>
      <c r="AK66" s="952" t="n"/>
      <c r="AL66" s="952" t="n"/>
      <c r="AM66" s="951" t="n"/>
      <c r="AN66" s="1065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5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5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6" t="inlineStr">
        <is>
          <t>Y</t>
        </is>
      </c>
      <c r="AH67" s="957" t="n"/>
      <c r="AI67" s="955" t="n"/>
      <c r="AJ67" s="1066" t="inlineStr">
        <is>
          <t>N</t>
        </is>
      </c>
      <c r="AK67" s="957" t="n"/>
      <c r="AL67" s="957" t="n"/>
      <c r="AM67" s="955" t="n"/>
      <c r="AN67" s="1005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5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5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6" t="n"/>
      <c r="AH68" s="957" t="n"/>
      <c r="AI68" s="955" t="n"/>
      <c r="AJ68" s="1066" t="inlineStr">
        <is>
          <t>N</t>
        </is>
      </c>
      <c r="AK68" s="957" t="n"/>
      <c r="AL68" s="957" t="n"/>
      <c r="AM68" s="955" t="n"/>
      <c r="AN68" s="1005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5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5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6" t="n"/>
      <c r="AH69" s="957" t="n"/>
      <c r="AI69" s="955" t="n"/>
      <c r="AJ69" s="1066" t="inlineStr">
        <is>
          <t>Y</t>
        </is>
      </c>
      <c r="AK69" s="957" t="n"/>
      <c r="AL69" s="957" t="n"/>
      <c r="AM69" s="955" t="n"/>
      <c r="AN69" s="1005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5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5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6" t="n"/>
      <c r="AH70" s="957" t="n"/>
      <c r="AI70" s="955" t="n"/>
      <c r="AJ70" s="1066" t="inlineStr">
        <is>
          <t>N</t>
        </is>
      </c>
      <c r="AK70" s="957" t="n"/>
      <c r="AL70" s="957" t="n"/>
      <c r="AM70" s="955" t="n"/>
      <c r="AN70" s="1005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5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5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6" t="n"/>
      <c r="AH71" s="957" t="n"/>
      <c r="AI71" s="955" t="n"/>
      <c r="AJ71" s="1066" t="inlineStr">
        <is>
          <t>N</t>
        </is>
      </c>
      <c r="AK71" s="957" t="n"/>
      <c r="AL71" s="957" t="n"/>
      <c r="AM71" s="955" t="n"/>
      <c r="AN71" s="1005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5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5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6" t="n"/>
      <c r="AH72" s="957" t="n"/>
      <c r="AI72" s="955" t="n"/>
      <c r="AJ72" s="1066" t="inlineStr">
        <is>
          <t>Y</t>
        </is>
      </c>
      <c r="AK72" s="957" t="n"/>
      <c r="AL72" s="957" t="n"/>
      <c r="AM72" s="955" t="n"/>
      <c r="AN72" s="1005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5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5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6" t="n"/>
      <c r="AH73" s="957" t="n"/>
      <c r="AI73" s="955" t="n"/>
      <c r="AJ73" s="1066" t="inlineStr">
        <is>
          <t>Y</t>
        </is>
      </c>
      <c r="AK73" s="957" t="n"/>
      <c r="AL73" s="957" t="n"/>
      <c r="AM73" s="955" t="n"/>
      <c r="AN73" s="1005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5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5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6" t="n"/>
      <c r="AH74" s="957" t="n"/>
      <c r="AI74" s="955" t="n"/>
      <c r="AJ74" s="1066" t="inlineStr">
        <is>
          <t>N</t>
        </is>
      </c>
      <c r="AK74" s="957" t="n"/>
      <c r="AL74" s="957" t="n"/>
      <c r="AM74" s="955" t="n"/>
      <c r="AN74" s="1005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8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68" t="n"/>
      <c r="AH75" s="962" t="n"/>
      <c r="AI75" s="960" t="n"/>
      <c r="AJ75" s="1068" t="n"/>
      <c r="AK75" s="962" t="n"/>
      <c r="AL75" s="962" t="n"/>
      <c r="AM75" s="960" t="n"/>
      <c r="AN75" s="1008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5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5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6" t="n"/>
      <c r="AH76" s="957" t="n"/>
      <c r="AI76" s="955" t="n"/>
      <c r="AJ76" s="1066" t="inlineStr">
        <is>
          <t>Y</t>
        </is>
      </c>
      <c r="AK76" s="957" t="n"/>
      <c r="AL76" s="957" t="n"/>
      <c r="AM76" s="955" t="n"/>
      <c r="AN76" s="1005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5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5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6" t="n"/>
      <c r="AH77" s="957" t="n"/>
      <c r="AI77" s="955" t="n"/>
      <c r="AJ77" s="1066" t="inlineStr">
        <is>
          <t>Y</t>
        </is>
      </c>
      <c r="AK77" s="957" t="n"/>
      <c r="AL77" s="957" t="n"/>
      <c r="AM77" s="955" t="n"/>
      <c r="AN77" s="1005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5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5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6" t="n"/>
      <c r="AH78" s="957" t="n"/>
      <c r="AI78" s="955" t="n"/>
      <c r="AJ78" s="1066" t="inlineStr">
        <is>
          <t>Y</t>
        </is>
      </c>
      <c r="AK78" s="957" t="n"/>
      <c r="AL78" s="957" t="n"/>
      <c r="AM78" s="955" t="n"/>
      <c r="AN78" s="1005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5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5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6" t="n"/>
      <c r="AH79" s="957" t="n"/>
      <c r="AI79" s="955" t="n"/>
      <c r="AJ79" s="1066" t="inlineStr">
        <is>
          <t>N</t>
        </is>
      </c>
      <c r="AK79" s="957" t="n"/>
      <c r="AL79" s="957" t="n"/>
      <c r="AM79" s="955" t="n"/>
      <c r="AN79" s="1005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1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1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67" t="n"/>
      <c r="AH80" s="982" t="n"/>
      <c r="AI80" s="980" t="n"/>
      <c r="AJ80" s="1067" t="inlineStr">
        <is>
          <t>N</t>
        </is>
      </c>
      <c r="AK80" s="982" t="n"/>
      <c r="AL80" s="982" t="n"/>
      <c r="AM80" s="980" t="n"/>
      <c r="AN80" s="1011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6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2026-10-27T07:06:16Z</dcterms:modified>
  <cp:lastModifiedBy>anan</cp:lastModifiedBy>
  <cp:revision>0</cp:revision>
  <cp:lastPrinted>2009-01-19T06:29:27Z</cp:lastPrinted>
</cp:coreProperties>
</file>