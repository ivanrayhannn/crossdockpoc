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Summary'!$A$1:$N$32</definedName>
    <definedName name="_xlnm.Print_Area" localSheetId="1">'Function Map'!$A$1:$L$22</definedName>
    <definedName name="_xlnm.Print_Area" localSheetId="2">'Task List'!$A$1:$I$25</definedName>
    <definedName name="_xlnm.Print_Area" localSheetId="3">'Konfirmasi'!$A$1:$K$23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Map'!$B$7:$B$21)</f>
        <v/>
      </c>
      <c r="C11" s="11" t="n"/>
      <c r="D11" s="10">
        <f>COUNTIF('Function Map'!$D$7:$D$21,"Screen")</f>
        <v/>
      </c>
      <c r="E11" s="11" t="n"/>
      <c r="F11" s="10">
        <f>COUNTIF('Function Map'!$D$7:$D$21,"Batch")</f>
        <v/>
      </c>
      <c r="G11" s="11" t="n"/>
      <c r="H11" s="12">
        <f>COUNTIF('Task List'!$H$13:$H$24,"&lt;&gt;Done")</f>
        <v/>
      </c>
      <c r="I11" s="11" t="n"/>
      <c r="J11" s="12">
        <f>COUNTIF(Konfirmasi!$J$8:$J$22,"Open")</f>
        <v/>
      </c>
      <c r="K11" s="11" t="n"/>
      <c r="L11" s="13">
        <f>COUNTIFS('Function Map'!$D$7:$D$21,"Screen",'Function Map'!$J$7:$J$21,"Yes")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15 fungsi (X1-X15) versi 0.1 + file .md per fungsi</t>
        </is>
      </c>
      <c r="H21" s="19" t="inlineStr">
        <is>
          <t>▸  Review struktur tabel baru TB_R_INSTRUCTION dan TB_R_PRA_DAILY_ORDER_MAPPED (nama / kolom usulan) (Tim NSP / IT (DBA))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Mapping kolom fisik ke TB_R_DAILY_ORDER_MANIFEST / PART, route master dan last sequence existing (Tim NSP / IT)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X1-X15 versi 0.1 oleh user / reviewer (User)</t>
        </is>
      </c>
    </row>
    <row r="24" ht="30" customHeight="1">
      <c r="B24" s="19" t="inlineStr">
        <is>
          <t>✔  Struktur tabel H0202 / H0253 / H0125 dari I/F layout G-System,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NSP, dipertahankan saat sync X10 (sudah diputuskan)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Susun testing strategy &amp; test scenario (unit, integration, UAT) X1-X15 (FID Rayhan)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29" ht="30" customHeight="1">
      <c r="B29" s="19" t="inlineStr">
        <is>
          <t>✔  Konfirmasi ASN 16-Oct diterapkan: case label &amp; case number sesuai existing, 1 ASN = 1 Supplier + Plant, D/S super admin (semua supplier), route master existing, ASN ke TB_R_DAILY_ORDER_MANIFEST / PART, Create ASN → TB_R_INSTRUCTION (Back / Cancel hapus), tabel baru mapped qty, cancel dari source (status 2)</t>
        </is>
      </c>
    </row>
    <row r="31">
      <c r="B31" s="20" t="inlineStr">
        <is>
          <t>Detail: sheet Business Flow (alur), Function Map (X1-X15),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G29"/>
    <mergeCell ref="H16:M16"/>
    <mergeCell ref="B7:M8"/>
    <mergeCell ref="B28:G28"/>
    <mergeCell ref="H22:M22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B31:M31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15 fungsi Crossdock Optimization (UISS X1-X15)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/ D/S team (super admin)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 (route master); #TEMP_INSTRUCTION (X12)</t>
        </is>
      </c>
      <c r="I14" s="24" t="inlineStr">
        <is>
          <t>H0253 flags, TB_R_INSTRUCTION, TB_R_PRA_DAILY_ORDER_MAPPED,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G-System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G-System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G-System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Order, TB_R_PRA_DAILY_ORDER_MAPPED</t>
        </is>
      </c>
      <c r="I18" s="24" t="inlineStr">
        <is>
          <t>#TEMP_INSTRUCTION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TB_R_DAILY_ORDER_MANIFEST / _PART (existing)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TB_R_INSTRUCTION, Submit ID</t>
        </is>
      </c>
      <c r="I20" s="24" t="inlineStr">
        <is>
          <t>TB_R_DAILY_ORDER_MANIFEST / _PART (existing),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  <row r="21" ht="30" customHeight="1">
      <c r="B21" s="21" t="inlineStr">
        <is>
          <t>X15</t>
        </is>
      </c>
      <c r="C21" s="18" t="inlineStr">
        <is>
          <t>Menu Settings (admin panel)</t>
        </is>
      </c>
      <c r="D21" s="22" t="inlineStr">
        <is>
          <t>Screen</t>
        </is>
      </c>
      <c r="E21" s="18" t="inlineStr">
        <is>
          <t>Admin</t>
        </is>
      </c>
      <c r="F21" s="18" t="inlineStr">
        <is>
          <t>Common</t>
        </is>
      </c>
      <c r="G21" s="18" t="inlineStr">
        <is>
          <t>On demand</t>
        </is>
      </c>
      <c r="H21" s="18" t="inlineStr">
        <is>
          <t>Sidebar menu list</t>
        </is>
      </c>
      <c r="I21" s="18" t="inlineStr">
        <is>
          <t>TB_M_MENU_VISIBILITY (show / hide)</t>
        </is>
      </c>
      <c r="J21" s="22" t="inlineStr">
        <is>
          <t>Yes</t>
        </is>
      </c>
      <c r="K21" s="22" t="inlineStr">
        <is>
          <t>Draft 0.1</t>
        </is>
      </c>
      <c r="L21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4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16-Oct-2026.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COUNTIF($H$13:$H$24,C7)</f>
        <v/>
      </c>
    </row>
    <row r="8">
      <c r="C8" s="27" t="inlineStr">
        <is>
          <t>Waiting confirmation</t>
        </is>
      </c>
      <c r="D8" s="28">
        <f>COUNTIF($H$13:$H$24,C8)</f>
        <v/>
      </c>
    </row>
    <row r="9">
      <c r="C9" s="27" t="inlineStr">
        <is>
          <t>In progress</t>
        </is>
      </c>
      <c r="D9" s="28">
        <f>COUNTIF($H$13:$H$24,C9)</f>
        <v/>
      </c>
    </row>
    <row r="10">
      <c r="C10" s="27" t="inlineStr">
        <is>
          <t>Done</t>
        </is>
      </c>
      <c r="D10" s="28">
        <f>COUNTIF($H$13:$H$24,C10)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Review struktur tabel baru TB_R_INSTRUCTION dan TB_R_PRA_DAILY_ORDER_MAPPED (nama / kolom usulan)</t>
        </is>
      </c>
      <c r="D13" s="18" t="inlineStr">
        <is>
          <t>X8, X12, X14</t>
        </is>
      </c>
      <c r="E13" s="18" t="inlineStr">
        <is>
          <t>Data</t>
        </is>
      </c>
      <c r="F13" s="18" t="inlineStr">
        <is>
          <t>Tim NSP / IT (DBA)</t>
        </is>
      </c>
      <c r="G13" s="18" t="inlineStr">
        <is>
          <t>-</t>
        </is>
      </c>
      <c r="H13" s="29" t="inlineStr">
        <is>
          <t>Not started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Mapping kolom fisik ke TB_R_DAILY_ORDER_MANIFEST / PART, route master dan last sequence existing</t>
        </is>
      </c>
      <c r="D14" s="18" t="inlineStr">
        <is>
          <t>X8, X13, X14</t>
        </is>
      </c>
      <c r="E14" s="18" t="inlineStr">
        <is>
          <t>Data</t>
        </is>
      </c>
      <c r="F14" s="18" t="inlineStr">
        <is>
          <t>Tim NSP / IT</t>
        </is>
      </c>
      <c r="G14" s="18" t="inlineStr">
        <is>
          <t>-</t>
        </is>
      </c>
      <c r="H14" s="29" t="inlineStr">
        <is>
          <t>Not started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1-3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X16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7-8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X1-X15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11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X1-X15 versi 0.1 oleh user / reviewer</t>
        </is>
      </c>
      <c r="D18" s="18" t="inlineStr">
        <is>
          <t>X1-X15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6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NSP, dipertahankan saat sync X10 (sudah diputuskan)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-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Prototype: Download Case Label sesuai format existing</t>
        </is>
      </c>
      <c r="D21" s="18" t="inlineStr">
        <is>
          <t>X8 / X13</t>
        </is>
      </c>
      <c r="E21" s="18" t="inlineStr">
        <is>
          <t>Prototype</t>
        </is>
      </c>
      <c r="F21" s="18" t="inlineStr">
        <is>
          <t>FID Rayhan</t>
        </is>
      </c>
      <c r="G21" s="18" t="inlineStr">
        <is>
          <t>Contoh label existing</t>
        </is>
      </c>
      <c r="H21" s="29" t="inlineStr">
        <is>
          <t>Not started</t>
        </is>
      </c>
      <c r="I21" s="22" t="inlineStr">
        <is>
          <t>Medium</t>
        </is>
      </c>
    </row>
    <row r="22" ht="30" customHeight="1">
      <c r="B22" s="22" t="n">
        <v>10</v>
      </c>
      <c r="C22" s="18" t="inlineStr">
        <is>
          <t>Susun testing strategy &amp; test scenario (unit, integration, UAT) X1-X15</t>
        </is>
      </c>
      <c r="D22" s="18" t="inlineStr">
        <is>
          <t>X1-X15</t>
        </is>
      </c>
      <c r="E22" s="18" t="inlineStr">
        <is>
          <t>Testing</t>
        </is>
      </c>
      <c r="F22" s="18" t="inlineStr">
        <is>
          <t>FID Rayhan</t>
        </is>
      </c>
      <c r="G22" s="18" t="inlineStr">
        <is>
          <t>UISS final</t>
        </is>
      </c>
      <c r="H22" s="29" t="inlineStr">
        <is>
          <t>Not started</t>
        </is>
      </c>
      <c r="I22" s="22" t="inlineStr">
        <is>
          <t>High</t>
        </is>
      </c>
    </row>
    <row r="23" ht="30" customHeight="1">
      <c r="B23" s="22" t="n">
        <v>11</v>
      </c>
      <c r="C23" s="18" t="inlineStr">
        <is>
          <t>Definisikan proses lanjutan setelah ASN (penerimaan di crossdock, pengiriman ke destinasi)</t>
        </is>
      </c>
      <c r="D23" s="18" t="inlineStr">
        <is>
          <t>Next scope</t>
        </is>
      </c>
      <c r="E23" s="18" t="inlineStr">
        <is>
          <t>Analisis</t>
        </is>
      </c>
      <c r="F23" s="18" t="inlineStr">
        <is>
          <t>FID Rayhan / User</t>
        </is>
      </c>
      <c r="G23" s="18" t="inlineStr">
        <is>
          <t>Arahan user</t>
        </is>
      </c>
      <c r="H23" s="29" t="inlineStr">
        <is>
          <t>Not started</t>
        </is>
      </c>
      <c r="I23" s="22" t="inlineStr">
        <is>
          <t>Medium</t>
        </is>
      </c>
    </row>
    <row r="24" ht="30" customHeight="1">
      <c r="B24" s="22" t="n">
        <v>12</v>
      </c>
      <c r="C24" s="18" t="inlineStr">
        <is>
          <t>Susun BRD / TSD (jika dibutuhkan proyek)</t>
        </is>
      </c>
      <c r="D24" s="18" t="inlineStr">
        <is>
          <t>All</t>
        </is>
      </c>
      <c r="E24" s="18" t="inlineStr">
        <is>
          <t>Dokumen</t>
        </is>
      </c>
      <c r="F24" s="18" t="inlineStr">
        <is>
          <t>FID Rayhan</t>
        </is>
      </c>
      <c r="G24" s="18" t="inlineStr">
        <is>
          <t>Arahan user</t>
        </is>
      </c>
      <c r="H24" s="29" t="inlineStr">
        <is>
          <t>Not started</t>
        </is>
      </c>
      <c r="I24" s="22" t="inlineStr">
        <is>
          <t>Low</t>
        </is>
      </c>
    </row>
  </sheetData>
  <conditionalFormatting sqref="I13:I24">
    <cfRule type="cellIs" priority="1" operator="equal" dxfId="0">
      <formula>"High"</formula>
    </cfRule>
  </conditionalFormatting>
  <dataValidations count="1">
    <dataValidation sqref="H13 H14 H15 H16 H17 H18 H19 H20 H21 H22 H23 H24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16-Oct-2026.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X9-X11</t>
        </is>
      </c>
      <c r="D8" s="17" t="inlineStr">
        <is>
          <t>Jadwal &amp; retry</t>
        </is>
      </c>
      <c r="E8" s="18" t="inlineStr">
        <is>
          <t>Jadwal scheduler NSP untuk X9, X10, X11 dan perlu auto retry seperti X6 / X7?</t>
        </is>
      </c>
      <c r="F8" s="18" t="inlineStr">
        <is>
          <t>Setelah data G-System tersedia; auto retry 3x.</t>
        </is>
      </c>
      <c r="G8" s="18" t="inlineStr">
        <is>
          <t>Schedule sheet di UISS masih TBC.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X5</t>
        </is>
      </c>
      <c r="D9" s="17" t="inlineStr">
        <is>
          <t>Jadwal X5</t>
        </is>
      </c>
      <c r="E9" s="18" t="inlineStr">
        <is>
          <t>Tanggal / jam scheduler bulanan X5.</t>
        </is>
      </c>
      <c r="F9" s="18" t="inlineStr">
        <is>
          <t>Tanggal 1 jam 01:00, sebelum X6.</t>
        </is>
      </c>
      <c r="G9" s="18" t="inlineStr">
        <is>
          <t>Schedule sheet X5 / X6.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X5 / X6</t>
        </is>
      </c>
      <c r="D10" s="17" t="inlineStr">
        <is>
          <t>X5 gagal</t>
        </is>
      </c>
      <c r="E10" s="18" t="inlineStr">
        <is>
          <t>Kalau X5 gagal, apakah X6 dibatalkan?</t>
        </is>
      </c>
      <c r="F10" s="18" t="inlineStr">
        <is>
          <t>Ya, X6 tidak jalan.</t>
        </is>
      </c>
      <c r="G10" s="18" t="inlineStr">
        <is>
          <t>Aturan dependensi batch.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X5</t>
        </is>
      </c>
      <c r="D11" s="17" t="inlineStr">
        <is>
          <t>Kolom DAD</t>
        </is>
      </c>
      <c r="E11" s="18" t="inlineStr">
        <is>
          <t>Kolom DAD di Actual Demand Summary dipakai atau tidak?</t>
        </is>
      </c>
      <c r="F11" s="18" t="inlineStr">
        <is>
          <t>Tidak dipakai (hanya MAD).</t>
        </is>
      </c>
      <c r="G11" s="18" t="inlineStr">
        <is>
          <t>Mapping kolom X5.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X5 / X7</t>
        </is>
      </c>
      <c r="D12" s="17" t="inlineStr">
        <is>
          <t>Order type N + S</t>
        </is>
      </c>
      <c r="E12" s="18" t="inlineStr">
        <is>
          <t>ORDER_TYPE_GROUP N dan S dijumlahkan (sementara). Final?</t>
        </is>
      </c>
      <c r="F12" s="18" t="inlineStr">
        <is>
          <t>Tetap dijumlahkan.</t>
        </is>
      </c>
      <c r="G12" s="18" t="inlineStr">
        <is>
          <t>Rumus MAD di X6 / X7.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X10</t>
        </is>
      </c>
      <c r="D13" s="17" t="inlineStr">
        <is>
          <t>SERIAL_NO</t>
        </is>
      </c>
      <c r="E13" s="18" t="inlineStr">
        <is>
          <t>SERIAL_NO perlu ditambahkan di tabel / query H0253 sumber (DB Surrounding).</t>
        </is>
      </c>
      <c r="F13" s="18" t="inlineStr">
        <is>
          <t>Tim surrounding menambah kolom.</t>
        </is>
      </c>
      <c r="G13" s="18" t="inlineStr">
        <is>
          <t>Tanpa SERIAL_NO key H0253 tidak unik.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X3</t>
        </is>
      </c>
      <c r="D14" s="17" t="inlineStr">
        <is>
          <t>RPA Sync</t>
        </is>
      </c>
      <c r="E14" s="18" t="inlineStr">
        <is>
          <t>Detail fungsi RPA: layar global system, urutan input, waktu proses, timeout, user ID RPA.</t>
        </is>
      </c>
      <c r="F14" s="18" t="inlineStr">
        <is>
          <t>Perlu sesi dengan tim RPA.</t>
        </is>
      </c>
      <c r="G14" s="18" t="inlineStr">
        <is>
          <t>UISS RPA belum bisa dibuat.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X3</t>
        </is>
      </c>
      <c r="D15" s="17" t="inlineStr">
        <is>
          <t>UISS RPA</t>
        </is>
      </c>
      <c r="E15" s="18" t="inlineStr">
        <is>
          <t>Perlu UISS-Batch tersendiri untuk RPA Sync?</t>
        </is>
      </c>
      <c r="F15" s="18" t="inlineStr">
        <is>
          <t>Ya, X16.</t>
        </is>
      </c>
      <c r="G15" s="18" t="inlineStr">
        <is>
          <t>Tambahan dokumen.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X3</t>
        </is>
      </c>
      <c r="D16" s="17" t="inlineStr">
        <is>
          <t>Status Waiting</t>
        </is>
      </c>
      <c r="E16" s="18" t="inlineStr">
        <is>
          <t>Apakah status Waiting (Sync) perlu batas waktu, lalu kembali ke Failed?</t>
        </is>
      </c>
      <c r="F16" s="18" t="inlineStr">
        <is>
          <t>Ya, 30 menit.</t>
        </is>
      </c>
      <c r="G16" s="18" t="inlineStr">
        <is>
          <t>Status sync bisa menggantung.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X1-X4</t>
        </is>
      </c>
      <c r="D17" s="17" t="inlineStr">
        <is>
          <t>History</t>
        </is>
      </c>
      <c r="E17" s="18" t="inlineStr">
        <is>
          <t>Konfirmasi kolom dan retensi TB_H_PART_CANDIDATE (usulan 24 bulan).</t>
        </is>
      </c>
      <c r="F17" s="18" t="inlineStr">
        <is>
          <t>Pakai usulan.</t>
        </is>
      </c>
      <c r="G17" s="18" t="inlineStr">
        <is>
          <t>Appendix tabel history.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X1-X4</t>
        </is>
      </c>
      <c r="D18" s="17" t="inlineStr">
        <is>
          <t>Panjang kolom</t>
        </is>
      </c>
      <c r="E18" s="18" t="inlineStr">
        <is>
          <t>Panjang VARCHAR kolom (PART_NO dll.) dan nama field Part Name di TB_M_PART_MASTER.</t>
        </is>
      </c>
      <c r="F18" s="18" t="inlineStr">
        <is>
          <t>Ikuti TB_M_PART_MASTER.</t>
        </is>
      </c>
      <c r="G18" s="18" t="inlineStr">
        <is>
          <t>Masih VARCHAR(TBD) di Appendix.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X2 / X4</t>
        </is>
      </c>
      <c r="D19" s="17" t="inlineStr">
        <is>
          <t>Template &amp; log</t>
        </is>
      </c>
      <c r="E19" s="18" t="inlineStr">
        <is>
          <t>Lokasi file template dan result report; retensi Log upload.</t>
        </is>
      </c>
      <c r="F19" s="18" t="inlineStr">
        <is>
          <t>Shared folder NSP; retensi 12 bulan.</t>
        </is>
      </c>
      <c r="G19" s="18" t="inlineStr">
        <is>
          <t>Operation description upload.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X1</t>
        </is>
      </c>
      <c r="D20" s="17" t="inlineStr">
        <is>
          <t>Akun read only</t>
        </is>
      </c>
      <c r="E20" s="18" t="inlineStr">
        <is>
          <t>Definisi akun read-only ([View]) untuk Part List.</t>
        </is>
      </c>
      <c r="F20" s="18" t="inlineStr">
        <is>
          <t>Role Viewer: hanya Search / Export.</t>
        </is>
      </c>
      <c r="G20" s="18" t="inlineStr">
        <is>
          <t>Screen mode View.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X15</t>
        </is>
      </c>
      <c r="D21" s="17" t="inlineStr">
        <is>
          <t>Menu Settings</t>
        </is>
      </c>
      <c r="E21" s="18" t="inlineStr">
        <is>
          <t>Pengaturan show / hide menu berlaku per role atau global, dan siapa yang boleh membuka layar ini?</t>
        </is>
      </c>
      <c r="F21" s="18" t="inlineStr">
        <is>
          <t>Per role; hanya admin.</t>
        </is>
      </c>
      <c r="G21" s="18" t="inlineStr">
        <is>
          <t>Struktur TB_M_MENU_VISIBILITY.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</t>
        </is>
      </c>
      <c r="D22" s="17" t="inlineStr">
        <is>
          <t>Effective Start Date</t>
        </is>
      </c>
      <c r="E22" s="18" t="inlineStr">
        <is>
          <t>Kalimat "Effective Start Date" yang menggantung di Op Desc 5.4 a.4 (UISS X1): aturan apa yang dimaksud?</t>
        </is>
      </c>
      <c r="F22" s="18" t="inlineStr">
        <is>
          <t>Default besok, minimum hari ini, wajib diisi.</t>
        </is>
      </c>
      <c r="G22" s="18" t="inlineStr">
        <is>
          <t>Op Desc X1 belum lengkap.</t>
        </is>
      </c>
      <c r="H22" s="30" t="n"/>
      <c r="I22" s="30" t="n"/>
      <c r="J22" s="31">
        <f>IF(H22="","Open","Decided")</f>
        <v/>
      </c>
    </row>
  </sheetData>
  <conditionalFormatting sqref="J8:J22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G-System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(X1-X15)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2026-10-16T07:12:13Z</dcterms:created>
  <dcterms:modified xmlns:dcterms="http://purl.org/dc/terms/" xmlns:xsi="http://www.w3.org/2001/XMLSchema-instance" xsi:type="dcterms:W3CDTF">2026-10-16T07:12:13Z</dcterms:modified>
</cp:coreProperties>
</file>