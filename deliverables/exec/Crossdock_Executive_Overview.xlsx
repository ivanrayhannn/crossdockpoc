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unction Map" sheetId="2" state="visible" r:id="rId2"/>
    <sheet xmlns:r="http://schemas.openxmlformats.org/officeDocument/2006/relationships" name="Task List" sheetId="3" state="visible" r:id="rId3"/>
    <sheet xmlns:r="http://schemas.openxmlformats.org/officeDocument/2006/relationships" name="Konfirmasi" sheetId="4" state="visible" r:id="rId4"/>
    <sheet xmlns:r="http://schemas.openxmlformats.org/officeDocument/2006/relationships" name="Business Flow" sheetId="5" state="visible" r:id="rId5"/>
  </sheets>
  <definedNames>
    <definedName name="_xlnm.Print_Area" localSheetId="0">'Executive Summary'!$A$1:$N$29</definedName>
    <definedName name="_xlnm.Print_Area" localSheetId="1">'Function Map'!$A$1:$L$20</definedName>
    <definedName name="_xlnm.Print_Area" localSheetId="2">'Task List'!$A$1:$I$27</definedName>
    <definedName name="_xlnm.Print_Area" localSheetId="3">'Konfirmasi'!$A$1:$K$31</definedName>
    <definedName name="_xlnm.Print_Area" localSheetId="4">'Business Flow'!$A$1:$AN$52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color rgb="0044546A"/>
      <sz val="10"/>
    </font>
    <font>
      <name val="Arial"/>
      <b val="1"/>
      <color rgb="00FFFFFF"/>
      <sz val="10"/>
    </font>
    <font>
      <name val="Arial"/>
      <b val="1"/>
      <color rgb="00262626"/>
      <sz val="10"/>
    </font>
    <font>
      <name val="Arial"/>
      <color rgb="00262626"/>
      <sz val="10"/>
    </font>
    <font>
      <name val="Arial"/>
      <b val="1"/>
      <color rgb="001F3864"/>
      <sz val="10"/>
    </font>
    <font>
      <name val="Arial"/>
      <i val="1"/>
      <color rgb="0044546A"/>
      <sz val="9"/>
    </font>
    <font>
      <name val="Arial"/>
      <b val="1"/>
      <color rgb="00FFFFFF"/>
      <sz val="11"/>
    </font>
    <font>
      <name val="Arial"/>
      <b val="1"/>
      <color rgb="005B6B82"/>
      <sz val="11"/>
    </font>
    <font>
      <name val="Arial"/>
      <i val="1"/>
      <color rgb="00C00000"/>
      <sz val="9"/>
    </font>
    <font>
      <name val="Arial"/>
      <color rgb="00262626"/>
      <sz val="9.5"/>
    </font>
    <font>
      <name val="Arial"/>
      <color rgb="00262626"/>
      <sz val="9"/>
    </font>
    <font>
      <name val="Arial"/>
      <b val="1"/>
      <color rgb="001F3864"/>
      <sz val="11"/>
    </font>
    <font>
      <name val="Arial"/>
      <b val="1"/>
      <color rgb="00FFFFFF"/>
      <sz val="9"/>
    </font>
    <font>
      <name val="Arial"/>
      <b val="1"/>
      <color rgb="001F3864"/>
      <sz val="22"/>
    </font>
    <font>
      <name val="Arial"/>
      <b val="1"/>
      <color rgb="00C00000"/>
      <sz val="22"/>
    </font>
    <font>
      <name val="Arial"/>
      <b val="1"/>
      <color rgb="0044546A"/>
      <sz val="22"/>
    </font>
  </fonts>
  <fills count="1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6FB"/>
        <bgColor rgb="00F2F6FB"/>
      </patternFill>
    </fill>
    <fill>
      <patternFill patternType="solid">
        <fgColor rgb="00FFF2CC"/>
        <bgColor rgb="00FFF2CC"/>
      </patternFill>
    </fill>
    <fill>
      <patternFill patternType="solid">
        <fgColor rgb="0044546A"/>
        <bgColor rgb="0044546A"/>
      </patternFill>
    </fill>
    <fill>
      <patternFill patternType="solid">
        <fgColor rgb="00E7E6E6"/>
        <bgColor rgb="00E7E6E6"/>
      </patternFill>
    </fill>
    <fill>
      <patternFill patternType="solid">
        <fgColor rgb="00FAFBFD"/>
        <bgColor rgb="00FAFBFD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DE7F6"/>
        <bgColor rgb="00EDE7F6"/>
      </patternFill>
    </fill>
    <fill>
      <patternFill patternType="solid">
        <fgColor rgb="00EDEDED"/>
        <bgColor rgb="00EDEDED"/>
      </patternFill>
    </fill>
    <fill>
      <patternFill patternType="solid">
        <fgColor rgb="005B6B82"/>
        <bgColor rgb="005B6B82"/>
      </patternFill>
    </fill>
    <fill>
      <patternFill patternType="solid">
        <fgColor rgb="00C00000"/>
        <bgColor rgb="00C00000"/>
      </patternFill>
    </fill>
  </fills>
  <borders count="15">
    <border>
      <left/>
      <right/>
      <top/>
      <bottom/>
      <diagonal/>
    </border>
    <border>
      <bottom style="medium">
        <color rgb="00C00000"/>
      </bottom>
    </border>
    <border>
      <left style="thin">
        <color rgb="00BFC9D6"/>
      </left>
      <right style="thin">
        <color rgb="00BFC9D6"/>
      </right>
      <top style="thin">
        <color rgb="00BFC9D6"/>
      </top>
      <bottom style="thin">
        <color rgb="00BFC9D6"/>
      </bottom>
    </border>
    <border>
      <left style="medium">
        <color rgb="001F3864"/>
      </left>
      <right style="medium">
        <color rgb="001F3864"/>
      </right>
      <top style="medium">
        <color rgb="001F3864"/>
      </top>
    </border>
    <border>
      <left style="medium">
        <color rgb="001F3864"/>
      </left>
      <right style="medium">
        <color rgb="001F3864"/>
      </right>
    </border>
    <border>
      <left style="medium">
        <color rgb="001F3864"/>
      </left>
      <right style="medium">
        <color rgb="001F3864"/>
      </right>
      <bottom style="medium">
        <color rgb="001F3864"/>
      </bottom>
    </border>
    <border>
      <bottom style="thin">
        <color rgb="00BFC9D6"/>
      </bottom>
    </border>
    <border>
      <left style="mediumDashed">
        <color rgb="00C00000"/>
      </left>
    </border>
    <border>
      <left style="dashed">
        <color rgb="007F7F7F"/>
      </left>
      <right style="dashed">
        <color rgb="007F7F7F"/>
      </right>
      <top style="dashed">
        <color rgb="007F7F7F"/>
      </top>
    </border>
    <border>
      <left style="dashed">
        <color rgb="007F7F7F"/>
      </left>
      <right style="dashed">
        <color rgb="007F7F7F"/>
      </right>
    </border>
    <border>
      <left style="dashed">
        <color rgb="007F7F7F"/>
      </left>
      <right style="dashed">
        <color rgb="007F7F7F"/>
      </right>
      <bottom style="dashed">
        <color rgb="007F7F7F"/>
      </bottom>
    </border>
    <border>
      <left/>
      <right/>
      <top style="thin">
        <color rgb="00BFC9D6"/>
      </top>
      <bottom/>
      <diagonal/>
    </border>
    <border>
      <left/>
      <right style="thin">
        <color rgb="00BFC9D6"/>
      </right>
      <top style="thin">
        <color rgb="00BFC9D6"/>
      </top>
      <bottom/>
      <diagonal/>
    </border>
    <border>
      <left/>
      <right style="thin">
        <color rgb="00BFC9D6"/>
      </right>
      <top style="thin">
        <color rgb="00BFC9D6"/>
      </top>
      <bottom style="thin">
        <color rgb="00BFC9D6"/>
      </bottom>
      <diagonal/>
    </border>
    <border>
      <left/>
      <right/>
      <top style="thin">
        <color rgb="00BFC9D6"/>
      </top>
      <bottom style="thin">
        <color rgb="00BFC9D6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3" fillId="0" borderId="0" pivotButton="0" quotePrefix="0" xfId="0"/>
    <xf numFmtId="0" fontId="5" fillId="0" borderId="0" applyAlignment="1" pivotButton="0" quotePrefix="0" xfId="0">
      <alignment vertical="top" wrapText="1"/>
    </xf>
    <xf numFmtId="0" fontId="14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14" fillId="15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16" fillId="3" borderId="2" applyAlignment="1" pivotButton="0" quotePrefix="0" xfId="0">
      <alignment horizontal="center" vertical="center"/>
    </xf>
    <xf numFmtId="0" fontId="17" fillId="3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11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6" fillId="3" borderId="2" applyAlignment="1" pivotButton="0" quotePrefix="0" xfId="0">
      <alignment horizontal="center" vertical="top" wrapText="1"/>
    </xf>
    <xf numFmtId="0" fontId="5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center" vertical="top" wrapText="1"/>
    </xf>
    <xf numFmtId="0" fontId="6" fillId="0" borderId="0" pivotButton="0" quotePrefix="0" xfId="0"/>
    <xf numFmtId="0" fontId="5" fillId="0" borderId="2" pivotButton="0" quotePrefix="0" xfId="0"/>
    <xf numFmtId="0" fontId="6" fillId="0" borderId="2" applyAlignment="1" pivotButton="0" quotePrefix="0" xfId="0">
      <alignment horizontal="center"/>
    </xf>
    <xf numFmtId="0" fontId="5" fillId="4" borderId="2" applyAlignment="1" pivotButton="0" quotePrefix="0" xfId="0">
      <alignment horizontal="center" vertical="top" wrapText="1"/>
    </xf>
    <xf numFmtId="0" fontId="5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 wrapText="1"/>
    </xf>
    <xf numFmtId="0" fontId="0" fillId="7" borderId="0" pivotButton="0" quotePrefix="0" xfId="0"/>
    <xf numFmtId="0" fontId="0" fillId="9" borderId="7" pivotButton="0" quotePrefix="0" xfId="0"/>
    <xf numFmtId="0" fontId="0" fillId="0" borderId="4" pivotButton="0" quotePrefix="0" xfId="0"/>
    <xf numFmtId="0" fontId="0" fillId="6" borderId="3" applyAlignment="1" pivotButton="0" quotePrefix="0" xfId="0">
      <alignment horizontal="center" vertical="center" wrapText="1"/>
    </xf>
    <xf numFmtId="0" fontId="0" fillId="6" borderId="4" pivotButton="0" quotePrefix="0" xfId="0"/>
    <xf numFmtId="0" fontId="0" fillId="14" borderId="0" pivotButton="0" quotePrefix="0" xfId="0"/>
    <xf numFmtId="0" fontId="0" fillId="6" borderId="5" pivotButton="0" quotePrefix="0" xfId="0"/>
    <xf numFmtId="0" fontId="0" fillId="0" borderId="5" pivotButton="0" quotePrefix="0" xfId="0"/>
    <xf numFmtId="0" fontId="0" fillId="7" borderId="6" pivotButton="0" quotePrefix="0" xfId="0"/>
    <xf numFmtId="0" fontId="0" fillId="14" borderId="6" pivotButton="0" quotePrefix="0" xfId="0"/>
    <xf numFmtId="0" fontId="6" fillId="8" borderId="3" applyAlignment="1" pivotButton="0" quotePrefix="0" xfId="0">
      <alignment horizontal="center" vertical="center" wrapText="1"/>
    </xf>
    <xf numFmtId="0" fontId="0" fillId="9" borderId="0" pivotButton="0" quotePrefix="0" xfId="0"/>
    <xf numFmtId="0" fontId="0" fillId="8" borderId="3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/>
    </xf>
    <xf numFmtId="0" fontId="0" fillId="8" borderId="4" pivotButton="0" quotePrefix="0" xfId="0"/>
    <xf numFmtId="0" fontId="0" fillId="8" borderId="5" pivotButton="0" quotePrefix="0" xfId="0"/>
    <xf numFmtId="0" fontId="0" fillId="9" borderId="6" pivotButton="0" quotePrefix="0" xfId="0"/>
    <xf numFmtId="0" fontId="6" fillId="10" borderId="3" applyAlignment="1" pivotButton="0" quotePrefix="0" xfId="0">
      <alignment horizontal="center" vertical="center" wrapText="1"/>
    </xf>
    <xf numFmtId="0" fontId="0" fillId="10" borderId="3" applyAlignment="1" pivotButton="0" quotePrefix="0" xfId="0">
      <alignment horizontal="center" vertical="center" wrapText="1"/>
    </xf>
    <xf numFmtId="0" fontId="0" fillId="10" borderId="4" pivotButton="0" quotePrefix="0" xfId="0"/>
    <xf numFmtId="0" fontId="0" fillId="10" borderId="5" pivotButton="0" quotePrefix="0" xfId="0"/>
    <xf numFmtId="0" fontId="6" fillId="11" borderId="3" applyAlignment="1" pivotButton="0" quotePrefix="0" xfId="0">
      <alignment horizontal="center" vertical="center" wrapText="1"/>
    </xf>
    <xf numFmtId="0" fontId="0" fillId="11" borderId="3" applyAlignment="1" pivotButton="0" quotePrefix="0" xfId="0">
      <alignment horizontal="center" vertical="center" wrapText="1"/>
    </xf>
    <xf numFmtId="0" fontId="0" fillId="11" borderId="4" pivotButton="0" quotePrefix="0" xfId="0"/>
    <xf numFmtId="0" fontId="0" fillId="11" borderId="5" pivotButton="0" quotePrefix="0" xfId="0"/>
    <xf numFmtId="0" fontId="6" fillId="4" borderId="3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center" vertical="center" wrapText="1"/>
    </xf>
    <xf numFmtId="0" fontId="0" fillId="13" borderId="8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/>
    </xf>
    <xf numFmtId="0" fontId="0" fillId="4" borderId="4" pivotButton="0" quotePrefix="0" xfId="0"/>
    <xf numFmtId="0" fontId="0" fillId="13" borderId="9" pivotButton="0" quotePrefix="0" xfId="0"/>
    <xf numFmtId="0" fontId="0" fillId="4" borderId="5" pivotButton="0" quotePrefix="0" xfId="0"/>
    <xf numFmtId="0" fontId="0" fillId="13" borderId="10" pivotButton="0" quotePrefix="0" xfId="0"/>
    <xf numFmtId="0" fontId="6" fillId="12" borderId="3" applyAlignment="1" pivotButton="0" quotePrefix="0" xfId="0">
      <alignment horizontal="center" vertical="center" wrapText="1"/>
    </xf>
    <xf numFmtId="0" fontId="0" fillId="12" borderId="3" applyAlignment="1" pivotButton="0" quotePrefix="0" xfId="0">
      <alignment horizontal="center" vertical="center" wrapText="1"/>
    </xf>
    <xf numFmtId="0" fontId="0" fillId="12" borderId="4" pivotButton="0" quotePrefix="0" xfId="0"/>
    <xf numFmtId="0" fontId="0" fillId="12" borderId="5" pivotButton="0" quotePrefix="0" xfId="0"/>
    <xf numFmtId="0" fontId="10" fillId="0" borderId="0" applyAlignment="1" pivotButton="0" quotePrefix="0" xfId="0">
      <alignment horizontal="center"/>
    </xf>
    <xf numFmtId="0" fontId="3" fillId="2" borderId="0" applyAlignment="1" pivotButton="0" quotePrefix="0" xfId="0">
      <alignment vertical="center" indent="1"/>
    </xf>
    <xf numFmtId="0" fontId="11" fillId="3" borderId="0" applyAlignment="1" pivotButton="0" quotePrefix="0" xfId="0">
      <alignment vertical="center" indent="1"/>
    </xf>
    <xf numFmtId="0" fontId="0" fillId="8" borderId="2" pivotButton="0" quotePrefix="0" xfId="0"/>
    <xf numFmtId="0" fontId="12" fillId="0" borderId="0" pivotButton="0" quotePrefix="0" xfId="0"/>
    <xf numFmtId="0" fontId="0" fillId="14" borderId="2" pivotButton="0" quotePrefix="0" xfId="0"/>
    <xf numFmtId="0" fontId="0" fillId="13" borderId="2" pivotButton="0" quotePrefix="0" xfId="0"/>
    <xf numFmtId="0" fontId="0" fillId="9" borderId="2" pivotButton="0" quotePrefix="0" xfId="0"/>
  </cellXfs>
  <cellStyles count="1">
    <cellStyle name="Normal" xfId="0" builtinId="0" hidden="0"/>
  </cellStyles>
  <dxfs count="2">
    <dxf>
      <font>
        <name val="Arial"/>
        <b val="1"/>
        <color rgb="00C00000"/>
      </font>
    </dxf>
    <dxf>
      <font>
        <name val="Arial"/>
        <b val="1"/>
        <color rgb="002E7D3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M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2">
      <c r="B2" s="1" t="inlineStr">
        <is>
          <t>Crossdock Optimization – Executive Summary</t>
        </is>
      </c>
    </row>
    <row r="3">
      <c r="B3" s="2" t="inlineStr">
        <is>
          <t>NSP · disusun oleh FID Rayhan (BSA) · status per 14-Oct-2026</t>
        </is>
      </c>
    </row>
    <row r="4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6">
      <c r="B6" s="4" t="inlineStr">
        <is>
          <t>Tujuan</t>
        </is>
      </c>
    </row>
    <row r="7" ht="22" customHeight="1">
      <c r="B7" s="5" t="inlineStr">
        <is>
          <t>Mengoptimalkan pengiriman part crossdock: menentukan part yang layak crossdock berdasarkan demand aktual, membagi kapasitas (Max Case/Day) ke destinasi ekspor, lalu memasangkan order customer ke PO supplier sehingga supplier bisa membuat ASN per case secara langsung.</t>
        </is>
      </c>
    </row>
    <row r="8" ht="22" customHeight="1"/>
    <row r="10">
      <c r="B10" s="6" t="inlineStr">
        <is>
          <t>Total fungsi</t>
        </is>
      </c>
      <c r="C10" s="7" t="n"/>
      <c r="D10" s="6" t="inlineStr">
        <is>
          <t>Screen</t>
        </is>
      </c>
      <c r="E10" s="7" t="n"/>
      <c r="F10" s="6" t="inlineStr">
        <is>
          <t>Batch</t>
        </is>
      </c>
      <c r="G10" s="7" t="n"/>
      <c r="H10" s="8" t="inlineStr">
        <is>
          <t>Task terbuka</t>
        </is>
      </c>
      <c r="I10" s="7" t="n"/>
      <c r="J10" s="8" t="inlineStr">
        <is>
          <t>Konfirmasi open</t>
        </is>
      </c>
      <c r="K10" s="7" t="n"/>
      <c r="L10" s="9" t="inlineStr">
        <is>
          <t>Prototype screen</t>
        </is>
      </c>
      <c r="M10" s="7" t="n"/>
    </row>
    <row r="11" ht="22" customHeight="1">
      <c r="B11" s="10">
        <f>COUNTA('Function Map'!$B$7:$B$19)</f>
        <v/>
      </c>
      <c r="C11" s="11" t="n"/>
      <c r="D11" s="10">
        <f>COUNTIF('Function Map'!$D$7:$D$19,"Screen")</f>
        <v/>
      </c>
      <c r="E11" s="11" t="n"/>
      <c r="F11" s="10">
        <f>COUNTIF('Function Map'!$D$7:$D$19,"Batch")</f>
        <v/>
      </c>
      <c r="G11" s="11" t="n"/>
      <c r="H11" s="12">
        <f>COUNTIF('Task List'!$H$13:$H$26,"&lt;&gt;Done")</f>
        <v/>
      </c>
      <c r="I11" s="11" t="n"/>
      <c r="J11" s="12">
        <f>COUNTIF(Konfirmasi!$J$8:$J$30,"Open")</f>
        <v/>
      </c>
      <c r="K11" s="11" t="n"/>
      <c r="L11" s="13">
        <f>COUNTIFS('Function Map'!$D$7:$D$19,"Screen",'Function Map'!$J$7:$J$19,"Yes")</f>
        <v/>
      </c>
      <c r="M11" s="11" t="n"/>
    </row>
    <row r="12" ht="22" customHeight="1"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4">
      <c r="B14" s="4" t="inlineStr">
        <is>
          <t>Lingkup per fase</t>
        </is>
      </c>
    </row>
    <row r="15" ht="30" customHeight="1">
      <c r="B15" s="14" t="inlineStr">
        <is>
          <t>Fase</t>
        </is>
      </c>
      <c r="C15" s="15" t="n"/>
      <c r="D15" s="14" t="inlineStr">
        <is>
          <t>Fungsi</t>
        </is>
      </c>
      <c r="E15" s="16" t="n"/>
      <c r="F15" s="16" t="n"/>
      <c r="G15" s="15" t="n"/>
      <c r="H15" s="14" t="inlineStr">
        <is>
          <t>Hasil bisnis</t>
        </is>
      </c>
      <c r="I15" s="16" t="n"/>
      <c r="J15" s="16" t="n"/>
      <c r="K15" s="16" t="n"/>
      <c r="L15" s="16" t="n"/>
      <c r="M15" s="15" t="n"/>
    </row>
    <row r="16" ht="42" customHeight="1">
      <c r="B16" s="17" t="inlineStr">
        <is>
          <t>A. Master setup (bulanan)</t>
        </is>
      </c>
      <c r="C16" s="7" t="n"/>
      <c r="D16" s="18" t="inlineStr">
        <is>
          <t>X1, X2 Part List · X5, X11 replikasi data · X6 DAD calc · X7 mapping calc · X3, X4 mapping &amp; sync</t>
        </is>
      </c>
      <c r="E16" s="7" t="n"/>
      <c r="F16" s="7" t="n"/>
      <c r="G16" s="7" t="n"/>
      <c r="H16" s="18" t="inlineStr">
        <is>
          <t>Daftar part crossdock Active dan kapasitas case/day per destinasi untuk periode baru, tersinkron ke global system.</t>
        </is>
      </c>
      <c r="I16" s="7" t="n"/>
      <c r="J16" s="7" t="n"/>
      <c r="K16" s="7" t="n"/>
      <c r="L16" s="7" t="n"/>
      <c r="M16" s="7" t="n"/>
    </row>
    <row r="17" ht="42" customHeight="1">
      <c r="B17" s="17" t="inlineStr">
        <is>
          <t>B. Operasi harian</t>
        </is>
      </c>
      <c r="C17" s="7" t="n"/>
      <c r="D17" s="18" t="inlineStr">
        <is>
          <t>X9, X10 replikasi order · X12 order ↔ PO (FIFO) · X8 ASN Crossdock Creation · X13 ASN Inquiry</t>
        </is>
      </c>
      <c r="E17" s="7" t="n"/>
      <c r="F17" s="7" t="n"/>
      <c r="G17" s="7" t="n"/>
      <c r="H17" s="18" t="inlineStr">
        <is>
          <t>Supplier membuat ASN per case dari order yang sudah dapat PO; D/S team memantau detail destinasi &amp; pcs.</t>
        </is>
      </c>
      <c r="I17" s="7" t="n"/>
      <c r="J17" s="7" t="n"/>
      <c r="K17" s="7" t="n"/>
      <c r="L17" s="7" t="n"/>
      <c r="M17" s="7" t="n"/>
    </row>
    <row r="20">
      <c r="B20" s="4" t="inlineStr">
        <is>
          <t>Sudah selesai</t>
        </is>
      </c>
      <c r="H20" s="4" t="inlineStr">
        <is>
          <t>Langkah berikutnya (prioritas High)</t>
        </is>
      </c>
    </row>
    <row r="21" ht="30" customHeight="1">
      <c r="B21" s="19" t="inlineStr">
        <is>
          <t>✔  UISS 13 fungsi (X1-X13) versi 0.1 + file .md per fungsi</t>
        </is>
      </c>
      <c r="H21" s="19" t="inlineStr">
        <is>
          <t>▸  Update UISS X8 / X13 setelah konfirmasi case label, nomor ASN, route master (FID Rayhan)</t>
        </is>
      </c>
    </row>
    <row r="22" ht="30" customHeight="1">
      <c r="B22" s="19" t="inlineStr">
        <is>
          <t>✔  Prototype Part List, Mapping per Destination, ASN Crossdock Creation, ASN Inquiry (GitHub Pages)</t>
        </is>
      </c>
      <c r="H22" s="19" t="inlineStr">
        <is>
          <t>▸  Finalisasi logika FIFO dan struktur Pra Daily Order di UISS X12 (FID Rayhan)</t>
        </is>
      </c>
    </row>
    <row r="23" ht="30" customHeight="1">
      <c r="B23" s="19" t="inlineStr">
        <is>
          <t>✔  Rumus kalkulasi DAD (X6) dan mapping destinasi (X7) termasuk aturan pembulatan, dikonfirmasi 14-Oct-26</t>
        </is>
      </c>
      <c r="H23" s="19" t="inlineStr">
        <is>
          <t>▸  Review UISS X1-X13 versi 0.1 oleh user / reviewer (User)</t>
        </is>
      </c>
    </row>
    <row r="24" ht="30" customHeight="1">
      <c r="B24" s="19" t="inlineStr">
        <is>
          <t>✔  Struktur tabel H0202 / H0253 / H0125 dari I/F layout G-TOPAS, termasuk SERIAL_NO</t>
        </is>
      </c>
      <c r="H24" s="19" t="inlineStr">
        <is>
          <t>▸  Tambah kolom SERIAL_NO di tabel / query H0253 sumber (Tim DB Surrounding)</t>
        </is>
      </c>
    </row>
    <row r="25" ht="30" customHeight="1">
      <c r="B25" s="19" t="inlineStr">
        <is>
          <t>✔  Alur ASN baru sesuai ASN_Flow_Normal.xlsx (unit Part + Customer Order Date, 1 case per destinasi, FIFO)</t>
        </is>
      </c>
      <c r="H25" s="19" t="inlineStr">
        <is>
          <t>▸  Konfirmasi struktur tabel Pra Daily Order dan route master (Tim NSP / IT)</t>
        </is>
      </c>
    </row>
    <row r="26" ht="30" customHeight="1">
      <c r="B26" s="19" t="inlineStr">
        <is>
          <t>✔  Header delivery plan level case; detail destinasi &amp; pcs hanya untuk tim D/S</t>
        </is>
      </c>
      <c r="H26" s="19" t="inlineStr">
        <is>
          <t>▸  Susun testing strategy &amp; test scenario (unit, integration, UAT) X1-X13 (FID Rayhan)</t>
        </is>
      </c>
    </row>
    <row r="28">
      <c r="B28" s="20" t="inlineStr">
        <is>
          <t>Detail: sheet Business Flow (alur), Function Map (13 fungsi), Task List, Konfirmasi (keputusan yang dibutuhkan). Prototype: https://ivanrayhannn.github.io/crossdockpoc/</t>
        </is>
      </c>
    </row>
  </sheetData>
  <mergeCells count="35">
    <mergeCell ref="H21:M21"/>
    <mergeCell ref="B16:C16"/>
    <mergeCell ref="D10:E10"/>
    <mergeCell ref="F10:G10"/>
    <mergeCell ref="H10:I10"/>
    <mergeCell ref="B23:G23"/>
    <mergeCell ref="J10:K10"/>
    <mergeCell ref="D15:G15"/>
    <mergeCell ref="H17:M17"/>
    <mergeCell ref="H16:M16"/>
    <mergeCell ref="B7:M8"/>
    <mergeCell ref="B28:M28"/>
    <mergeCell ref="H22:M22"/>
    <mergeCell ref="F11:G12"/>
    <mergeCell ref="L11:M12"/>
    <mergeCell ref="B17:C17"/>
    <mergeCell ref="B24:G24"/>
    <mergeCell ref="H15:M15"/>
    <mergeCell ref="H24:M24"/>
    <mergeCell ref="L10:M10"/>
    <mergeCell ref="B10:C10"/>
    <mergeCell ref="H23:M23"/>
    <mergeCell ref="B26:G26"/>
    <mergeCell ref="H26:M26"/>
    <mergeCell ref="B25:G25"/>
    <mergeCell ref="D17:G17"/>
    <mergeCell ref="B15:C15"/>
    <mergeCell ref="B22:G22"/>
    <mergeCell ref="B11:C12"/>
    <mergeCell ref="D11:E12"/>
    <mergeCell ref="D16:G16"/>
    <mergeCell ref="H11:I12"/>
    <mergeCell ref="J11:K12"/>
    <mergeCell ref="H25:M25"/>
    <mergeCell ref="B21:G21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546A"/>
    <outlinePr summaryBelow="1" summaryRight="1"/>
    <pageSetUpPr fitToPage="1"/>
  </sheetPr>
  <dimension ref="B2:L19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32" customWidth="1" min="3" max="3"/>
    <col width="9" customWidth="1" min="4" max="4"/>
    <col width="22" customWidth="1" min="5" max="5"/>
    <col width="17" customWidth="1" min="6" max="6"/>
    <col width="22" customWidth="1" min="7" max="7"/>
    <col width="30" customWidth="1" min="8" max="8"/>
    <col width="34" customWidth="1" min="9" max="9"/>
    <col width="13" customWidth="1" min="10" max="10"/>
    <col width="11" customWidth="1" min="11" max="11"/>
    <col width="11" customWidth="1" min="12" max="12"/>
  </cols>
  <sheetData>
    <row r="2">
      <c r="B2" s="1" t="inlineStr">
        <is>
          <t>Function Map</t>
        </is>
      </c>
    </row>
    <row r="3">
      <c r="B3" s="2" t="inlineStr">
        <is>
          <t>13 fungsi Crossdock Optimization (UISS X1-X13) · status per 14-Oct-2026</t>
        </is>
      </c>
    </row>
    <row r="4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6" ht="30" customHeight="1">
      <c r="B6" s="14" t="inlineStr">
        <is>
          <t>ID</t>
        </is>
      </c>
      <c r="C6" s="14" t="inlineStr">
        <is>
          <t>Function</t>
        </is>
      </c>
      <c r="D6" s="14" t="inlineStr">
        <is>
          <t>Type</t>
        </is>
      </c>
      <c r="E6" s="14" t="inlineStr">
        <is>
          <t>User / Actor</t>
        </is>
      </c>
      <c r="F6" s="14" t="inlineStr">
        <is>
          <t>Phase</t>
        </is>
      </c>
      <c r="G6" s="14" t="inlineStr">
        <is>
          <t>Trigger / Frequency</t>
        </is>
      </c>
      <c r="H6" s="14" t="inlineStr">
        <is>
          <t>Input</t>
        </is>
      </c>
      <c r="I6" s="14" t="inlineStr">
        <is>
          <t>Output</t>
        </is>
      </c>
      <c r="J6" s="14" t="inlineStr">
        <is>
          <t>Prototype</t>
        </is>
      </c>
      <c r="K6" s="14" t="inlineStr">
        <is>
          <t>UISS</t>
        </is>
      </c>
      <c r="L6" s="14" t="inlineStr">
        <is>
          <t>MD</t>
        </is>
      </c>
    </row>
    <row r="7" ht="30" customHeight="1">
      <c r="B7" s="21" t="inlineStr">
        <is>
          <t>X1</t>
        </is>
      </c>
      <c r="C7" s="18" t="inlineStr">
        <is>
          <t>Part List (Crossdock Master Setting)</t>
        </is>
      </c>
      <c r="D7" s="22" t="inlineStr">
        <is>
          <t>Screen</t>
        </is>
      </c>
      <c r="E7" s="18" t="inlineStr">
        <is>
          <t>Procurement</t>
        </is>
      </c>
      <c r="F7" s="18" t="inlineStr">
        <is>
          <t>A. Master setup</t>
        </is>
      </c>
      <c r="G7" s="18" t="inlineStr">
        <is>
          <t>On demand</t>
        </is>
      </c>
      <c r="H7" s="18" t="inlineStr">
        <is>
          <t>Part master</t>
        </is>
      </c>
      <c r="I7" s="18" t="inlineStr">
        <is>
          <t>TB_M_PART_CANDIDATE, history</t>
        </is>
      </c>
      <c r="J7" s="22" t="inlineStr">
        <is>
          <t>Yes</t>
        </is>
      </c>
      <c r="K7" s="22" t="inlineStr">
        <is>
          <t>Draft 0.1</t>
        </is>
      </c>
      <c r="L7" s="22" t="inlineStr">
        <is>
          <t>Updated</t>
        </is>
      </c>
    </row>
    <row r="8" ht="30" customHeight="1">
      <c r="B8" s="23" t="inlineStr">
        <is>
          <t>X2</t>
        </is>
      </c>
      <c r="C8" s="24" t="inlineStr">
        <is>
          <t>Part List Upload</t>
        </is>
      </c>
      <c r="D8" s="25" t="inlineStr">
        <is>
          <t>Batch</t>
        </is>
      </c>
      <c r="E8" s="24" t="inlineStr">
        <is>
          <t>Procurement</t>
        </is>
      </c>
      <c r="F8" s="24" t="inlineStr">
        <is>
          <t>A. Master setup</t>
        </is>
      </c>
      <c r="G8" s="24" t="inlineStr">
        <is>
          <t>Upload from X1</t>
        </is>
      </c>
      <c r="H8" s="24" t="inlineStr">
        <is>
          <t>Excel template</t>
        </is>
      </c>
      <c r="I8" s="24" t="inlineStr">
        <is>
          <t>TB_M_PART_CANDIDATE, history, log</t>
        </is>
      </c>
      <c r="J8" s="25" t="inlineStr">
        <is>
          <t>Yes</t>
        </is>
      </c>
      <c r="K8" s="25" t="inlineStr">
        <is>
          <t>Draft 0.1</t>
        </is>
      </c>
      <c r="L8" s="25" t="inlineStr">
        <is>
          <t>Updated</t>
        </is>
      </c>
    </row>
    <row r="9" ht="30" customHeight="1">
      <c r="B9" s="21" t="inlineStr">
        <is>
          <t>X3</t>
        </is>
      </c>
      <c r="C9" s="18" t="inlineStr">
        <is>
          <t>Mapping per Destination (+ Sync via RPA)</t>
        </is>
      </c>
      <c r="D9" s="22" t="inlineStr">
        <is>
          <t>Screen</t>
        </is>
      </c>
      <c r="E9" s="18" t="inlineStr">
        <is>
          <t>D/S team</t>
        </is>
      </c>
      <c r="F9" s="18" t="inlineStr">
        <is>
          <t>A. Master setup</t>
        </is>
      </c>
      <c r="G9" s="18" t="inlineStr">
        <is>
          <t>On demand</t>
        </is>
      </c>
      <c r="H9" s="18" t="inlineStr">
        <is>
          <t>Calculated mapping, destination master</t>
        </is>
      </c>
      <c r="I9" s="18" t="inlineStr">
        <is>
          <t>TB_M_PART_CANDIDATE_DEST, Global System</t>
        </is>
      </c>
      <c r="J9" s="22" t="inlineStr">
        <is>
          <t>Yes</t>
        </is>
      </c>
      <c r="K9" s="22" t="inlineStr">
        <is>
          <t>Draft 0.1</t>
        </is>
      </c>
      <c r="L9" s="22" t="inlineStr">
        <is>
          <t>Updated</t>
        </is>
      </c>
    </row>
    <row r="10" ht="30" customHeight="1">
      <c r="B10" s="23" t="inlineStr">
        <is>
          <t>X4</t>
        </is>
      </c>
      <c r="C10" s="24" t="inlineStr">
        <is>
          <t>Mapping Upload</t>
        </is>
      </c>
      <c r="D10" s="25" t="inlineStr">
        <is>
          <t>Batch</t>
        </is>
      </c>
      <c r="E10" s="24" t="inlineStr">
        <is>
          <t>D/S team</t>
        </is>
      </c>
      <c r="F10" s="24" t="inlineStr">
        <is>
          <t>A. Master setup</t>
        </is>
      </c>
      <c r="G10" s="24" t="inlineStr">
        <is>
          <t>Upload from X3</t>
        </is>
      </c>
      <c r="H10" s="24" t="inlineStr">
        <is>
          <t>Excel template</t>
        </is>
      </c>
      <c r="I10" s="24" t="inlineStr">
        <is>
          <t>TB_M_PART_CANDIDATE_DEST, history, log</t>
        </is>
      </c>
      <c r="J10" s="25" t="inlineStr">
        <is>
          <t>Yes</t>
        </is>
      </c>
      <c r="K10" s="25" t="inlineStr">
        <is>
          <t>Draft 0.1</t>
        </is>
      </c>
      <c r="L10" s="25" t="inlineStr">
        <is>
          <t>Updated</t>
        </is>
      </c>
    </row>
    <row r="11" ht="30" customHeight="1">
      <c r="B11" s="21" t="inlineStr">
        <is>
          <t>X5</t>
        </is>
      </c>
      <c r="C11" s="18" t="inlineStr">
        <is>
          <t>Actual Demand Summary Sync</t>
        </is>
      </c>
      <c r="D11" s="22" t="inlineStr">
        <is>
          <t>Batch</t>
        </is>
      </c>
      <c r="E11" s="18" t="inlineStr">
        <is>
          <t>System</t>
        </is>
      </c>
      <c r="F11" s="18" t="inlineStr">
        <is>
          <t>A. Master setup</t>
        </is>
      </c>
      <c r="G11" s="18" t="inlineStr">
        <is>
          <t>Monthly, before X6 (TBC)</t>
        </is>
      </c>
      <c r="H11" s="18" t="inlineStr">
        <is>
          <t>DB Surrounding TB_R_ACTUAL_DEMAND_SUMMARY</t>
        </is>
      </c>
      <c r="I11" s="18" t="inlineStr">
        <is>
          <t>NSP TB_R_ACTUAL_DEMAND_SUMMARY</t>
        </is>
      </c>
      <c r="J11" s="22" t="inlineStr">
        <is>
          <t>N/A</t>
        </is>
      </c>
      <c r="K11" s="22" t="inlineStr">
        <is>
          <t>Draft 0.1</t>
        </is>
      </c>
      <c r="L11" s="22" t="inlineStr">
        <is>
          <t>Updated</t>
        </is>
      </c>
    </row>
    <row r="12" ht="30" customHeight="1">
      <c r="B12" s="23" t="inlineStr">
        <is>
          <t>X6</t>
        </is>
      </c>
      <c r="C12" s="24" t="inlineStr">
        <is>
          <t>DAD Volume Calculation</t>
        </is>
      </c>
      <c r="D12" s="25" t="inlineStr">
        <is>
          <t>Batch</t>
        </is>
      </c>
      <c r="E12" s="24" t="inlineStr">
        <is>
          <t>System (manual run in X1)</t>
        </is>
      </c>
      <c r="F12" s="24" t="inlineStr">
        <is>
          <t>A. Master setup</t>
        </is>
      </c>
      <c r="G12" s="24" t="inlineStr">
        <is>
          <t>Monthly, after X5</t>
        </is>
      </c>
      <c r="H12" s="24" t="inlineStr">
        <is>
          <t>Actual demand, Min MAD</t>
        </is>
      </c>
      <c r="I12" s="24" t="inlineStr">
        <is>
          <t>Part status Active / Inactive, TB_R_PART_DAD_RESULT</t>
        </is>
      </c>
      <c r="J12" s="25" t="inlineStr">
        <is>
          <t>Yes (run bar)</t>
        </is>
      </c>
      <c r="K12" s="25" t="inlineStr">
        <is>
          <t>Draft 0.1</t>
        </is>
      </c>
      <c r="L12" s="25" t="inlineStr">
        <is>
          <t>Updated</t>
        </is>
      </c>
    </row>
    <row r="13" ht="30" customHeight="1">
      <c r="B13" s="21" t="inlineStr">
        <is>
          <t>X7</t>
        </is>
      </c>
      <c r="C13" s="18" t="inlineStr">
        <is>
          <t>Mapping Destination Calculation</t>
        </is>
      </c>
      <c r="D13" s="22" t="inlineStr">
        <is>
          <t>Batch</t>
        </is>
      </c>
      <c r="E13" s="18" t="inlineStr">
        <is>
          <t>System (manual run in X3)</t>
        </is>
      </c>
      <c r="F13" s="18" t="inlineStr">
        <is>
          <t>A. Master setup</t>
        </is>
      </c>
      <c r="G13" s="18" t="inlineStr">
        <is>
          <t>Own scheduler (TBC)</t>
        </is>
      </c>
      <c r="H13" s="18" t="inlineStr">
        <is>
          <t>Active parts, actual demand, Max Case/Day</t>
        </is>
      </c>
      <c r="I13" s="18" t="inlineStr">
        <is>
          <t>New period mapping (case/day per destination)</t>
        </is>
      </c>
      <c r="J13" s="22" t="inlineStr">
        <is>
          <t>Yes (run bar)</t>
        </is>
      </c>
      <c r="K13" s="22" t="inlineStr">
        <is>
          <t>Draft 0.1</t>
        </is>
      </c>
      <c r="L13" s="22" t="inlineStr">
        <is>
          <t>Updated</t>
        </is>
      </c>
    </row>
    <row r="14" ht="30" customHeight="1">
      <c r="B14" s="23" t="inlineStr">
        <is>
          <t>X8</t>
        </is>
      </c>
      <c r="C14" s="24" t="inlineStr">
        <is>
          <t>ASN Crossdock Creation</t>
        </is>
      </c>
      <c r="D14" s="25" t="inlineStr">
        <is>
          <t>Screen</t>
        </is>
      </c>
      <c r="E14" s="24" t="inlineStr">
        <is>
          <t>Supplier (detail: D/S team)</t>
        </is>
      </c>
      <c r="F14" s="24" t="inlineStr">
        <is>
          <t>B. Daily operation</t>
        </is>
      </c>
      <c r="G14" s="24" t="inlineStr">
        <is>
          <t>On demand</t>
        </is>
      </c>
      <c r="H14" s="24" t="inlineStr">
        <is>
          <t>TB_R_INSTRUCTION</t>
        </is>
      </c>
      <c r="I14" s="24" t="inlineStr">
        <is>
          <t>TB_R_ASN_CROSSDOCK_H, ASN / case no.</t>
        </is>
      </c>
      <c r="J14" s="25" t="inlineStr">
        <is>
          <t>Yes</t>
        </is>
      </c>
      <c r="K14" s="25" t="inlineStr">
        <is>
          <t>Draft 0.1</t>
        </is>
      </c>
      <c r="L14" s="25" t="inlineStr">
        <is>
          <t>Updated</t>
        </is>
      </c>
    </row>
    <row r="15" ht="30" customHeight="1">
      <c r="B15" s="21" t="inlineStr">
        <is>
          <t>X9</t>
        </is>
      </c>
      <c r="C15" s="18" t="inlineStr">
        <is>
          <t>H0202 Demand History Sync</t>
        </is>
      </c>
      <c r="D15" s="22" t="inlineStr">
        <is>
          <t>Batch</t>
        </is>
      </c>
      <c r="E15" s="18" t="inlineStr">
        <is>
          <t>System</t>
        </is>
      </c>
      <c r="F15" s="18" t="inlineStr">
        <is>
          <t>B. Daily operation</t>
        </is>
      </c>
      <c r="G15" s="18" t="inlineStr">
        <is>
          <t>Daily (TBC)</t>
        </is>
      </c>
      <c r="H15" s="18" t="inlineStr">
        <is>
          <t>G-TOPAS H0202</t>
        </is>
      </c>
      <c r="I15" s="18" t="inlineStr">
        <is>
          <t>NSP TB_R_H0202</t>
        </is>
      </c>
      <c r="J15" s="22" t="inlineStr">
        <is>
          <t>N/A</t>
        </is>
      </c>
      <c r="K15" s="22" t="inlineStr">
        <is>
          <t>Draft 0.1</t>
        </is>
      </c>
      <c r="L15" s="22" t="inlineStr">
        <is>
          <t>Updated</t>
        </is>
      </c>
    </row>
    <row r="16" ht="30" customHeight="1">
      <c r="B16" s="23" t="inlineStr">
        <is>
          <t>X10</t>
        </is>
      </c>
      <c r="C16" s="24" t="inlineStr">
        <is>
          <t>H0253 Order Control Sync</t>
        </is>
      </c>
      <c r="D16" s="25" t="inlineStr">
        <is>
          <t>Batch</t>
        </is>
      </c>
      <c r="E16" s="24" t="inlineStr">
        <is>
          <t>System</t>
        </is>
      </c>
      <c r="F16" s="24" t="inlineStr">
        <is>
          <t>B. Daily operation</t>
        </is>
      </c>
      <c r="G16" s="24" t="inlineStr">
        <is>
          <t>Daily (TBC)</t>
        </is>
      </c>
      <c r="H16" s="24" t="inlineStr">
        <is>
          <t>G-TOPAS H0253</t>
        </is>
      </c>
      <c r="I16" s="24" t="inlineStr">
        <is>
          <t>NSP TB_R_H0253_ORDER_CONTROL_PRE</t>
        </is>
      </c>
      <c r="J16" s="25" t="inlineStr">
        <is>
          <t>N/A</t>
        </is>
      </c>
      <c r="K16" s="25" t="inlineStr">
        <is>
          <t>Draft 0.1</t>
        </is>
      </c>
      <c r="L16" s="25" t="inlineStr">
        <is>
          <t>Updated</t>
        </is>
      </c>
    </row>
    <row r="17" ht="30" customHeight="1">
      <c r="B17" s="21" t="inlineStr">
        <is>
          <t>X11</t>
        </is>
      </c>
      <c r="C17" s="18" t="inlineStr">
        <is>
          <t>H0125 Destination Master Sync</t>
        </is>
      </c>
      <c r="D17" s="22" t="inlineStr">
        <is>
          <t>Batch</t>
        </is>
      </c>
      <c r="E17" s="18" t="inlineStr">
        <is>
          <t>System</t>
        </is>
      </c>
      <c r="F17" s="18" t="inlineStr">
        <is>
          <t>A. Master setup</t>
        </is>
      </c>
      <c r="G17" s="18" t="inlineStr">
        <is>
          <t>Weekly (TBC)</t>
        </is>
      </c>
      <c r="H17" s="18" t="inlineStr">
        <is>
          <t>G-TOPAS H0125</t>
        </is>
      </c>
      <c r="I17" s="18" t="inlineStr">
        <is>
          <t>NSP TB_M_H0125_DESTINATION</t>
        </is>
      </c>
      <c r="J17" s="22" t="inlineStr">
        <is>
          <t>N/A</t>
        </is>
      </c>
      <c r="K17" s="22" t="inlineStr">
        <is>
          <t>Draft 0.1</t>
        </is>
      </c>
      <c r="L17" s="22" t="inlineStr">
        <is>
          <t>Updated</t>
        </is>
      </c>
    </row>
    <row r="18" ht="30" customHeight="1">
      <c r="B18" s="23" t="inlineStr">
        <is>
          <t>X12</t>
        </is>
      </c>
      <c r="C18" s="24" t="inlineStr">
        <is>
          <t>Customer Order - PO Mapping</t>
        </is>
      </c>
      <c r="D18" s="25" t="inlineStr">
        <is>
          <t>Batch</t>
        </is>
      </c>
      <c r="E18" s="24" t="inlineStr">
        <is>
          <t>System</t>
        </is>
      </c>
      <c r="F18" s="24" t="inlineStr">
        <is>
          <t>B. Daily operation</t>
        </is>
      </c>
      <c r="G18" s="24" t="inlineStr">
        <is>
          <t>Daily (TBC)</t>
        </is>
      </c>
      <c r="H18" s="24" t="inlineStr">
        <is>
          <t>H0253 (status 7), Pra Daily Order</t>
        </is>
      </c>
      <c r="I18" s="24" t="inlineStr">
        <is>
          <t>TB_R_INSTRUCTION (FIFO by order date)</t>
        </is>
      </c>
      <c r="J18" s="25" t="inlineStr">
        <is>
          <t>N/A</t>
        </is>
      </c>
      <c r="K18" s="25" t="inlineStr">
        <is>
          <t>Draft 0.1</t>
        </is>
      </c>
      <c r="L18" s="25" t="inlineStr">
        <is>
          <t>Updated</t>
        </is>
      </c>
    </row>
    <row r="19" ht="30" customHeight="1">
      <c r="B19" s="21" t="inlineStr">
        <is>
          <t>X13</t>
        </is>
      </c>
      <c r="C19" s="18" t="inlineStr">
        <is>
          <t>ASN Inquiry</t>
        </is>
      </c>
      <c r="D19" s="22" t="inlineStr">
        <is>
          <t>Screen</t>
        </is>
      </c>
      <c r="E19" s="18" t="inlineStr">
        <is>
          <t>Supplier / D/S team</t>
        </is>
      </c>
      <c r="F19" s="18" t="inlineStr">
        <is>
          <t>B. Daily operation</t>
        </is>
      </c>
      <c r="G19" s="18" t="inlineStr">
        <is>
          <t>On demand</t>
        </is>
      </c>
      <c r="H19" s="18" t="inlineStr">
        <is>
          <t>TB_R_ASN_CROSSDOCK_H, TB_R_INSTRUCTION</t>
        </is>
      </c>
      <c r="I19" s="18" t="inlineStr">
        <is>
          <t>Display, case label</t>
        </is>
      </c>
      <c r="J19" s="22" t="inlineStr">
        <is>
          <t>Yes</t>
        </is>
      </c>
      <c r="K19" s="22" t="inlineStr">
        <is>
          <t>Draft 0.1</t>
        </is>
      </c>
      <c r="L19" s="22" t="inlineStr">
        <is>
          <t>Updated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44546A"/>
    <outlinePr summaryBelow="1" summaryRight="1"/>
    <pageSetUpPr fitToPage="1"/>
  </sheetPr>
  <dimension ref="B2:I26"/>
  <sheetViews>
    <sheetView showGridLines="0"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8" customWidth="1" min="3" max="3"/>
    <col width="14" customWidth="1" min="4" max="4"/>
    <col width="12" customWidth="1" min="5" max="5"/>
    <col width="20" customWidth="1" min="6" max="6"/>
    <col width="22" customWidth="1" min="7" max="7"/>
    <col width="20" customWidth="1" min="8" max="8"/>
    <col width="10" customWidth="1" min="9" max="9"/>
  </cols>
  <sheetData>
    <row r="2">
      <c r="B2" s="1" t="inlineStr">
        <is>
          <t>Task List – Belum Dikerjakan</t>
        </is>
      </c>
    </row>
    <row r="3">
      <c r="B3" s="2" t="inlineStr">
        <is>
          <t>Pekerjaan yang masih terbuka per 14-Oct-2026. Kolom Status bisa diubah (pilihan list).</t>
        </is>
      </c>
    </row>
    <row r="4">
      <c r="B4" s="3" t="n"/>
      <c r="C4" s="3" t="n"/>
      <c r="D4" s="3" t="n"/>
      <c r="E4" s="3" t="n"/>
      <c r="F4" s="3" t="n"/>
      <c r="G4" s="3" t="n"/>
      <c r="H4" s="3" t="n"/>
      <c r="I4" s="3" t="n"/>
    </row>
    <row r="6">
      <c r="B6" s="26" t="inlineStr">
        <is>
          <t>Ringkasan status</t>
        </is>
      </c>
    </row>
    <row r="7">
      <c r="C7" s="27" t="inlineStr">
        <is>
          <t>Not started</t>
        </is>
      </c>
      <c r="D7" s="28">
        <f>COUNTIF($H$13:$H$26,C7)</f>
        <v/>
      </c>
    </row>
    <row r="8">
      <c r="C8" s="27" t="inlineStr">
        <is>
          <t>Waiting confirmation</t>
        </is>
      </c>
      <c r="D8" s="28">
        <f>COUNTIF($H$13:$H$26,C8)</f>
        <v/>
      </c>
    </row>
    <row r="9">
      <c r="C9" s="27" t="inlineStr">
        <is>
          <t>In progress</t>
        </is>
      </c>
      <c r="D9" s="28">
        <f>COUNTIF($H$13:$H$26,C9)</f>
        <v/>
      </c>
    </row>
    <row r="10">
      <c r="C10" s="27" t="inlineStr">
        <is>
          <t>Done</t>
        </is>
      </c>
      <c r="D10" s="28">
        <f>COUNTIF($H$13:$H$26,C10)</f>
        <v/>
      </c>
    </row>
    <row r="11" ht="6" customHeight="1"/>
    <row r="12" ht="30" customHeight="1">
      <c r="B12" s="14" t="inlineStr">
        <is>
          <t>No</t>
        </is>
      </c>
      <c r="C12" s="14" t="inlineStr">
        <is>
          <t>Task</t>
        </is>
      </c>
      <c r="D12" s="14" t="inlineStr">
        <is>
          <t>Function</t>
        </is>
      </c>
      <c r="E12" s="14" t="inlineStr">
        <is>
          <t>Category</t>
        </is>
      </c>
      <c r="F12" s="14" t="inlineStr">
        <is>
          <t>PIC</t>
        </is>
      </c>
      <c r="G12" s="14" t="inlineStr">
        <is>
          <t>Depends on</t>
        </is>
      </c>
      <c r="H12" s="14" t="inlineStr">
        <is>
          <t>Status</t>
        </is>
      </c>
      <c r="I12" s="14" t="inlineStr">
        <is>
          <t>Priority</t>
        </is>
      </c>
    </row>
    <row r="13" ht="30" customHeight="1">
      <c r="B13" s="22" t="n">
        <v>1</v>
      </c>
      <c r="C13" s="18" t="inlineStr">
        <is>
          <t>Update UISS X8 / X13 setelah konfirmasi case label, nomor ASN, route master</t>
        </is>
      </c>
      <c r="D13" s="18" t="inlineStr">
        <is>
          <t>X8 / X13</t>
        </is>
      </c>
      <c r="E13" s="18" t="inlineStr">
        <is>
          <t>Dokumen</t>
        </is>
      </c>
      <c r="F13" s="18" t="inlineStr">
        <is>
          <t>FID Rayhan</t>
        </is>
      </c>
      <c r="G13" s="18" t="inlineStr">
        <is>
          <t>Konfirmasi no. 1-8</t>
        </is>
      </c>
      <c r="H13" s="29" t="inlineStr">
        <is>
          <t>Waiting confirmation</t>
        </is>
      </c>
      <c r="I13" s="22" t="inlineStr">
        <is>
          <t>High</t>
        </is>
      </c>
    </row>
    <row r="14" ht="30" customHeight="1">
      <c r="B14" s="22" t="n">
        <v>2</v>
      </c>
      <c r="C14" s="18" t="inlineStr">
        <is>
          <t>Finalisasi logika FIFO dan struktur Pra Daily Order di UISS X12</t>
        </is>
      </c>
      <c r="D14" s="18" t="inlineStr">
        <is>
          <t>X12</t>
        </is>
      </c>
      <c r="E14" s="18" t="inlineStr">
        <is>
          <t>Dokumen</t>
        </is>
      </c>
      <c r="F14" s="18" t="inlineStr">
        <is>
          <t>FID Rayhan</t>
        </is>
      </c>
      <c r="G14" s="18" t="inlineStr">
        <is>
          <t>Konfirmasi no. 9</t>
        </is>
      </c>
      <c r="H14" s="29" t="inlineStr">
        <is>
          <t>Waiting confirmation</t>
        </is>
      </c>
      <c r="I14" s="22" t="inlineStr">
        <is>
          <t>High</t>
        </is>
      </c>
    </row>
    <row r="15" ht="30" customHeight="1">
      <c r="B15" s="22" t="n">
        <v>3</v>
      </c>
      <c r="C15" s="18" t="inlineStr">
        <is>
          <t>Isi jadwal &amp; retry di Schedule sheet UISS X5, X9-X12</t>
        </is>
      </c>
      <c r="D15" s="18" t="inlineStr">
        <is>
          <t>X5, X9-X12</t>
        </is>
      </c>
      <c r="E15" s="18" t="inlineStr">
        <is>
          <t>Dokumen</t>
        </is>
      </c>
      <c r="F15" s="18" t="inlineStr">
        <is>
          <t>FID Rayhan</t>
        </is>
      </c>
      <c r="G15" s="18" t="inlineStr">
        <is>
          <t>Konfirmasi no. 10-12</t>
        </is>
      </c>
      <c r="H15" s="29" t="inlineStr">
        <is>
          <t>Waiting confirmation</t>
        </is>
      </c>
      <c r="I15" s="22" t="inlineStr">
        <is>
          <t>Medium</t>
        </is>
      </c>
    </row>
    <row r="16" ht="30" customHeight="1">
      <c r="B16" s="22" t="n">
        <v>4</v>
      </c>
      <c r="C16" s="18" t="inlineStr">
        <is>
          <t>Buat UISS-Batch RPA Sync (jika disetujui)</t>
        </is>
      </c>
      <c r="D16" s="18" t="inlineStr">
        <is>
          <t>X3</t>
        </is>
      </c>
      <c r="E16" s="18" t="inlineStr">
        <is>
          <t>Dokumen</t>
        </is>
      </c>
      <c r="F16" s="18" t="inlineStr">
        <is>
          <t>FID Rayhan</t>
        </is>
      </c>
      <c r="G16" s="18" t="inlineStr">
        <is>
          <t>Konfirmasi no. 16-17</t>
        </is>
      </c>
      <c r="H16" s="29" t="inlineStr">
        <is>
          <t>Not started</t>
        </is>
      </c>
      <c r="I16" s="22" t="inlineStr">
        <is>
          <t>Medium</t>
        </is>
      </c>
    </row>
    <row r="17" ht="30" customHeight="1">
      <c r="B17" s="22" t="n">
        <v>5</v>
      </c>
      <c r="C17" s="18" t="inlineStr">
        <is>
          <t>Lengkapi panjang VARCHAR dan nama field di Appendix semua UISS</t>
        </is>
      </c>
      <c r="D17" s="18" t="inlineStr">
        <is>
          <t>X1-X13</t>
        </is>
      </c>
      <c r="E17" s="18" t="inlineStr">
        <is>
          <t>Dokumen</t>
        </is>
      </c>
      <c r="F17" s="18" t="inlineStr">
        <is>
          <t>FID Rayhan</t>
        </is>
      </c>
      <c r="G17" s="18" t="inlineStr">
        <is>
          <t>Konfirmasi no. 20</t>
        </is>
      </c>
      <c r="H17" s="29" t="inlineStr">
        <is>
          <t>Waiting confirmation</t>
        </is>
      </c>
      <c r="I17" s="22" t="inlineStr">
        <is>
          <t>Low</t>
        </is>
      </c>
    </row>
    <row r="18" ht="30" customHeight="1">
      <c r="B18" s="22" t="n">
        <v>6</v>
      </c>
      <c r="C18" s="18" t="inlineStr">
        <is>
          <t>Review UISS X1-X13 versi 0.1 oleh user / reviewer</t>
        </is>
      </c>
      <c r="D18" s="18" t="inlineStr">
        <is>
          <t>X1-X13</t>
        </is>
      </c>
      <c r="E18" s="18" t="inlineStr">
        <is>
          <t>Review</t>
        </is>
      </c>
      <c r="F18" s="18" t="inlineStr">
        <is>
          <t>User</t>
        </is>
      </c>
      <c r="G18" s="18" t="inlineStr">
        <is>
          <t>-</t>
        </is>
      </c>
      <c r="H18" s="29" t="inlineStr">
        <is>
          <t>Not started</t>
        </is>
      </c>
      <c r="I18" s="22" t="inlineStr">
        <is>
          <t>High</t>
        </is>
      </c>
    </row>
    <row r="19" ht="30" customHeight="1">
      <c r="B19" s="22" t="n">
        <v>7</v>
      </c>
      <c r="C19" s="18" t="inlineStr">
        <is>
          <t>Tambah kolom SERIAL_NO di tabel / query H0253 sumber</t>
        </is>
      </c>
      <c r="D19" s="18" t="inlineStr">
        <is>
          <t>X10</t>
        </is>
      </c>
      <c r="E19" s="18" t="inlineStr">
        <is>
          <t>Data</t>
        </is>
      </c>
      <c r="F19" s="18" t="inlineStr">
        <is>
          <t>Tim DB Surrounding</t>
        </is>
      </c>
      <c r="G19" s="18" t="inlineStr">
        <is>
          <t>Konfirmasi no. 15</t>
        </is>
      </c>
      <c r="H19" s="29" t="inlineStr">
        <is>
          <t>Not started</t>
        </is>
      </c>
      <c r="I19" s="22" t="inlineStr">
        <is>
          <t>High</t>
        </is>
      </c>
    </row>
    <row r="20" ht="30" customHeight="1">
      <c r="B20" s="22" t="n">
        <v>8</v>
      </c>
      <c r="C20" s="18" t="inlineStr">
        <is>
          <t>Konfirmasi struktur tabel Pra Daily Order dan route master</t>
        </is>
      </c>
      <c r="D20" s="18" t="inlineStr">
        <is>
          <t>X8, X12</t>
        </is>
      </c>
      <c r="E20" s="18" t="inlineStr">
        <is>
          <t>Data</t>
        </is>
      </c>
      <c r="F20" s="18" t="inlineStr">
        <is>
          <t>Tim NSP / IT</t>
        </is>
      </c>
      <c r="G20" s="18" t="inlineStr">
        <is>
          <t>-</t>
        </is>
      </c>
      <c r="H20" s="29" t="inlineStr">
        <is>
          <t>Not started</t>
        </is>
      </c>
      <c r="I20" s="22" t="inlineStr">
        <is>
          <t>High</t>
        </is>
      </c>
    </row>
    <row r="21" ht="30" customHeight="1">
      <c r="B21" s="22" t="n">
        <v>9</v>
      </c>
      <c r="C21" s="18" t="inlineStr">
        <is>
          <t>Prototype: Download Case Label sesuai format</t>
        </is>
      </c>
      <c r="D21" s="18" t="inlineStr">
        <is>
          <t>X8 / X13</t>
        </is>
      </c>
      <c r="E21" s="18" t="inlineStr">
        <is>
          <t>Prototype</t>
        </is>
      </c>
      <c r="F21" s="18" t="inlineStr">
        <is>
          <t>FID Rayhan</t>
        </is>
      </c>
      <c r="G21" s="18" t="inlineStr">
        <is>
          <t>Konfirmasi no. 1</t>
        </is>
      </c>
      <c r="H21" s="29" t="inlineStr">
        <is>
          <t>Waiting confirmation</t>
        </is>
      </c>
      <c r="I21" s="22" t="inlineStr">
        <is>
          <t>Medium</t>
        </is>
      </c>
    </row>
    <row r="22" ht="30" customHeight="1">
      <c r="B22" s="22" t="n">
        <v>10</v>
      </c>
      <c r="C22" s="18" t="inlineStr">
        <is>
          <t>Prototype: Case List supplier level case &amp; akses D/S</t>
        </is>
      </c>
      <c r="D22" s="18" t="inlineStr">
        <is>
          <t>X8</t>
        </is>
      </c>
      <c r="E22" s="18" t="inlineStr">
        <is>
          <t>Prototype</t>
        </is>
      </c>
      <c r="F22" s="18" t="inlineStr">
        <is>
          <t>FID Rayhan</t>
        </is>
      </c>
      <c r="G22" s="18" t="inlineStr">
        <is>
          <t>Konfirmasi no. 4-5</t>
        </is>
      </c>
      <c r="H22" s="29" t="inlineStr">
        <is>
          <t>Waiting confirmation</t>
        </is>
      </c>
      <c r="I22" s="22" t="inlineStr">
        <is>
          <t>Medium</t>
        </is>
      </c>
    </row>
    <row r="23" ht="30" customHeight="1">
      <c r="B23" s="22" t="n">
        <v>11</v>
      </c>
      <c r="C23" s="18" t="inlineStr">
        <is>
          <t>Prototype: Cancel ASN di ASN Inquiry (jika diperlukan)</t>
        </is>
      </c>
      <c r="D23" s="18" t="inlineStr">
        <is>
          <t>X13</t>
        </is>
      </c>
      <c r="E23" s="18" t="inlineStr">
        <is>
          <t>Prototype</t>
        </is>
      </c>
      <c r="F23" s="18" t="inlineStr">
        <is>
          <t>FID Rayhan</t>
        </is>
      </c>
      <c r="G23" s="18" t="inlineStr">
        <is>
          <t>Konfirmasi no. 8</t>
        </is>
      </c>
      <c r="H23" s="29" t="inlineStr">
        <is>
          <t>Waiting confirmation</t>
        </is>
      </c>
      <c r="I23" s="22" t="inlineStr">
        <is>
          <t>Low</t>
        </is>
      </c>
    </row>
    <row r="24" ht="30" customHeight="1">
      <c r="B24" s="22" t="n">
        <v>12</v>
      </c>
      <c r="C24" s="18" t="inlineStr">
        <is>
          <t>Susun testing strategy &amp; test scenario (unit, integration, UAT) X1-X13</t>
        </is>
      </c>
      <c r="D24" s="18" t="inlineStr">
        <is>
          <t>X1-X13</t>
        </is>
      </c>
      <c r="E24" s="18" t="inlineStr">
        <is>
          <t>Testing</t>
        </is>
      </c>
      <c r="F24" s="18" t="inlineStr">
        <is>
          <t>FID Rayhan</t>
        </is>
      </c>
      <c r="G24" s="18" t="inlineStr">
        <is>
          <t>UISS final</t>
        </is>
      </c>
      <c r="H24" s="29" t="inlineStr">
        <is>
          <t>Not started</t>
        </is>
      </c>
      <c r="I24" s="22" t="inlineStr">
        <is>
          <t>High</t>
        </is>
      </c>
    </row>
    <row r="25" ht="30" customHeight="1">
      <c r="B25" s="22" t="n">
        <v>13</v>
      </c>
      <c r="C25" s="18" t="inlineStr">
        <is>
          <t>Definisikan proses lanjutan setelah ASN (penerimaan di crossdock, pengiriman ke destinasi)</t>
        </is>
      </c>
      <c r="D25" s="18" t="inlineStr">
        <is>
          <t>Next scope</t>
        </is>
      </c>
      <c r="E25" s="18" t="inlineStr">
        <is>
          <t>Analisis</t>
        </is>
      </c>
      <c r="F25" s="18" t="inlineStr">
        <is>
          <t>FID Rayhan / User</t>
        </is>
      </c>
      <c r="G25" s="18" t="inlineStr">
        <is>
          <t>Arahan user</t>
        </is>
      </c>
      <c r="H25" s="29" t="inlineStr">
        <is>
          <t>Not started</t>
        </is>
      </c>
      <c r="I25" s="22" t="inlineStr">
        <is>
          <t>Medium</t>
        </is>
      </c>
    </row>
    <row r="26" ht="30" customHeight="1">
      <c r="B26" s="22" t="n">
        <v>14</v>
      </c>
      <c r="C26" s="18" t="inlineStr">
        <is>
          <t>Susun BRD / TSD (jika dibutuhkan proyek)</t>
        </is>
      </c>
      <c r="D26" s="18" t="inlineStr">
        <is>
          <t>All</t>
        </is>
      </c>
      <c r="E26" s="18" t="inlineStr">
        <is>
          <t>Dokumen</t>
        </is>
      </c>
      <c r="F26" s="18" t="inlineStr">
        <is>
          <t>FID Rayhan</t>
        </is>
      </c>
      <c r="G26" s="18" t="inlineStr">
        <is>
          <t>Arahan user</t>
        </is>
      </c>
      <c r="H26" s="29" t="inlineStr">
        <is>
          <t>Not started</t>
        </is>
      </c>
      <c r="I26" s="22" t="inlineStr">
        <is>
          <t>Low</t>
        </is>
      </c>
    </row>
  </sheetData>
  <conditionalFormatting sqref="I13:I26">
    <cfRule type="cellIs" priority="1" operator="equal" dxfId="0">
      <formula>"High"</formula>
    </cfRule>
  </conditionalFormatting>
  <dataValidations count="1">
    <dataValidation sqref="H13 H14 H15 H16 H17 H18 H19 H20 H21 H22 H23 H24 H25 H26" showDropDown="0" showInputMessage="0" showErrorMessage="0" allowBlank="0" type="list">
      <formula1>"Not started,Waiting confirmation,In progress,Done"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44546A"/>
    <outlinePr summaryBelow="1" summaryRight="1"/>
    <pageSetUpPr fitToPage="1"/>
  </sheetPr>
  <dimension ref="B2:K3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1" customWidth="1" min="3" max="3"/>
    <col width="17" customWidth="1" min="4" max="4"/>
    <col width="46" customWidth="1" min="5" max="5"/>
    <col width="34" customWidth="1" min="6" max="6"/>
    <col width="30" customWidth="1" min="7" max="7"/>
    <col width="28" customWidth="1" min="8" max="8"/>
    <col width="13" customWidth="1" min="9" max="9"/>
    <col width="11" customWidth="1" min="10" max="10"/>
  </cols>
  <sheetData>
    <row r="2">
      <c r="B2" s="1" t="inlineStr">
        <is>
          <t>Daftar Konfirmasi dari User</t>
        </is>
      </c>
    </row>
    <row r="3">
      <c r="B3" s="2" t="inlineStr">
        <is>
          <t>Pertanyaan yang perlu keputusan user per 14-Oct-2026.</t>
        </is>
      </c>
    </row>
    <row r="4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B5" s="20" t="inlineStr">
        <is>
          <t>Cara isi: tulis keputusan di kolom kuning "Keputusan" dan "Tanggal" (contoh: "Setuju usulan" · 15-Oct-2026). Kolom Status berubah otomatis menjadi Decided.</t>
        </is>
      </c>
    </row>
    <row r="7" ht="30" customHeight="1">
      <c r="B7" s="14" t="inlineStr">
        <is>
          <t>No</t>
        </is>
      </c>
      <c r="C7" s="14" t="inlineStr">
        <is>
          <t>Function</t>
        </is>
      </c>
      <c r="D7" s="14" t="inlineStr">
        <is>
          <t>Topik</t>
        </is>
      </c>
      <c r="E7" s="14" t="inlineStr">
        <is>
          <t>Pertanyaan</t>
        </is>
      </c>
      <c r="F7" s="14" t="inlineStr">
        <is>
          <t>Usulan (BSA)</t>
        </is>
      </c>
      <c r="G7" s="14" t="inlineStr">
        <is>
          <t>Dampak jika belum diputuskan</t>
        </is>
      </c>
      <c r="H7" s="14" t="inlineStr">
        <is>
          <t>Keputusan</t>
        </is>
      </c>
      <c r="I7" s="14" t="inlineStr">
        <is>
          <t>Tanggal</t>
        </is>
      </c>
      <c r="J7" s="14" t="inlineStr">
        <is>
          <t>Status</t>
        </is>
      </c>
    </row>
    <row r="8" ht="42" customHeight="1">
      <c r="B8" s="22" t="n">
        <v>1</v>
      </c>
      <c r="C8" s="22" t="inlineStr">
        <is>
          <t>X8 / X13</t>
        </is>
      </c>
      <c r="D8" s="17" t="inlineStr">
        <is>
          <t>Case label</t>
        </is>
      </c>
      <c r="E8" s="18" t="inlineStr">
        <is>
          <t>Format, isi, dan nama file case label (Download Case Label).</t>
        </is>
      </c>
      <c r="F8" s="18" t="inlineStr">
        <is>
          <t>Ikuti format case label NSP existing.</t>
        </is>
      </c>
      <c r="G8" s="18" t="inlineStr">
        <is>
          <t>Case label belum bisa dicetak; UISS X8 / X13 masih TBD.</t>
        </is>
      </c>
      <c r="H8" s="30" t="n"/>
      <c r="I8" s="30" t="n"/>
      <c r="J8" s="31">
        <f>IF(H8="","Open","Decided")</f>
        <v/>
      </c>
    </row>
    <row r="9" ht="42" customHeight="1">
      <c r="B9" s="22" t="n">
        <v>2</v>
      </c>
      <c r="C9" s="22" t="inlineStr">
        <is>
          <t>X8</t>
        </is>
      </c>
      <c r="D9" s="17" t="inlineStr">
        <is>
          <t>Nomor ASN</t>
        </is>
      </c>
      <c r="E9" s="18" t="inlineStr">
        <is>
          <t>Aturan nomor urut ASN.</t>
        </is>
      </c>
      <c r="F9" s="18" t="inlineStr">
        <is>
          <t>ASN-{Supplier}-{YYMMDD Delivery Date}-{Seq 3 digit}, reset per hari per supplier.</t>
        </is>
      </c>
      <c r="G9" s="18" t="inlineStr">
        <is>
          <t>Format ASN No di X8 / X13 masih usulan.</t>
        </is>
      </c>
      <c r="H9" s="30" t="n"/>
      <c r="I9" s="30" t="n"/>
      <c r="J9" s="31">
        <f>IF(H9="","Open","Decided")</f>
        <v/>
      </c>
    </row>
    <row r="10" ht="42" customHeight="1">
      <c r="B10" s="22" t="n">
        <v>3</v>
      </c>
      <c r="C10" s="22" t="inlineStr">
        <is>
          <t>X8</t>
        </is>
      </c>
      <c r="D10" s="17" t="inlineStr">
        <is>
          <t>Isi 1 ASN</t>
        </is>
      </c>
      <c r="E10" s="18" t="inlineStr">
        <is>
          <t>Apakah 1 ASN wajib 1 supplier / plant?</t>
        </is>
      </c>
      <c r="F10" s="18" t="inlineStr">
        <is>
          <t>Ya, 1 ASN = 1 supplier + plant.</t>
        </is>
      </c>
      <c r="G10" s="18" t="inlineStr">
        <is>
          <t>Validasi pilihan unit di Create ASN.</t>
        </is>
      </c>
      <c r="H10" s="30" t="n"/>
      <c r="I10" s="30" t="n"/>
      <c r="J10" s="31">
        <f>IF(H10="","Open","Decided")</f>
        <v/>
      </c>
    </row>
    <row r="11" ht="42" customHeight="1">
      <c r="B11" s="22" t="n">
        <v>4</v>
      </c>
      <c r="C11" s="22" t="inlineStr">
        <is>
          <t>X8</t>
        </is>
      </c>
      <c r="D11" s="17" t="inlineStr">
        <is>
          <t>Case List supplier</t>
        </is>
      </c>
      <c r="E11" s="18" t="inlineStr">
        <is>
          <t>Sub screen Case List untuk supplier juga level case saja (sembunyikan Customer Order No dan pcs)?</t>
        </is>
      </c>
      <c r="F11" s="18" t="inlineStr">
        <is>
          <t>Ya, samakan dengan header (level case).</t>
        </is>
      </c>
      <c r="G11" s="18" t="inlineStr">
        <is>
          <t>Kolom Case List di UISS X8.</t>
        </is>
      </c>
      <c r="H11" s="30" t="n"/>
      <c r="I11" s="30" t="n"/>
      <c r="J11" s="31">
        <f>IF(H11="","Open","Decided")</f>
        <v/>
      </c>
    </row>
    <row r="12" ht="42" customHeight="1">
      <c r="B12" s="22" t="n">
        <v>5</v>
      </c>
      <c r="C12" s="22" t="inlineStr">
        <is>
          <t>X8</t>
        </is>
      </c>
      <c r="D12" s="17" t="inlineStr">
        <is>
          <t>Akses D/S</t>
        </is>
      </c>
      <c r="E12" s="18" t="inlineStr">
        <is>
          <t>Apakah tim D/S juga boleh Create / Submit ASN, atau hanya melihat?</t>
        </is>
      </c>
      <c r="F12" s="18" t="inlineStr">
        <is>
          <t>Hanya melihat (read only).</t>
        </is>
      </c>
      <c r="G12" s="18" t="inlineStr">
        <is>
          <t>Hak akses tombol Create ASN.</t>
        </is>
      </c>
      <c r="H12" s="30" t="n"/>
      <c r="I12" s="30" t="n"/>
      <c r="J12" s="31">
        <f>IF(H12="","Open","Decided")</f>
        <v/>
      </c>
    </row>
    <row r="13" ht="42" customHeight="1">
      <c r="B13" s="22" t="n">
        <v>6</v>
      </c>
      <c r="C13" s="22" t="inlineStr">
        <is>
          <t>X8</t>
        </is>
      </c>
      <c r="D13" s="17" t="inlineStr">
        <is>
          <t>Route master</t>
        </is>
      </c>
      <c r="E13" s="18" t="inlineStr">
        <is>
          <t>Nama dan struktur tabel route master (Rit Cycle / Route).</t>
        </is>
      </c>
      <c r="F13" s="18" t="inlineStr">
        <is>
          <t>Pakai route master NSP existing.</t>
        </is>
      </c>
      <c r="G13" s="18" t="inlineStr">
        <is>
          <t>Combo Rit Cycle masih mock.</t>
        </is>
      </c>
      <c r="H13" s="30" t="n"/>
      <c r="I13" s="30" t="n"/>
      <c r="J13" s="31">
        <f>IF(H13="","Open","Decided")</f>
        <v/>
      </c>
    </row>
    <row r="14" ht="42" customHeight="1">
      <c r="B14" s="22" t="n">
        <v>7</v>
      </c>
      <c r="C14" s="22" t="inlineStr">
        <is>
          <t>X8 / X13</t>
        </is>
      </c>
      <c r="D14" s="17" t="inlineStr">
        <is>
          <t>Tabel header ASN</t>
        </is>
      </c>
      <c r="E14" s="18" t="inlineStr">
        <is>
          <t>Konfirmasi nama dan kolom TB_R_ASN_CROSSDOCK_H (usulan).</t>
        </is>
      </c>
      <c r="F14" s="18" t="inlineStr">
        <is>
          <t>Pakai usulan di Appendix UISS X8.</t>
        </is>
      </c>
      <c r="G14" s="18" t="inlineStr">
        <is>
          <t>Data mapping Submit ASN.</t>
        </is>
      </c>
      <c r="H14" s="30" t="n"/>
      <c r="I14" s="30" t="n"/>
      <c r="J14" s="31">
        <f>IF(H14="","Open","Decided")</f>
        <v/>
      </c>
    </row>
    <row r="15" ht="42" customHeight="1">
      <c r="B15" s="22" t="n">
        <v>8</v>
      </c>
      <c r="C15" s="22" t="inlineStr">
        <is>
          <t>X13</t>
        </is>
      </c>
      <c r="D15" s="17" t="inlineStr">
        <is>
          <t>Cancel ASN</t>
        </is>
      </c>
      <c r="E15" s="18" t="inlineStr">
        <is>
          <t>Perlu cancel / revisi ASN dari ASN Inquiry?</t>
        </is>
      </c>
      <c r="F15" s="18" t="inlineStr">
        <is>
          <t>Perlu cancel selama barang belum dikirim.</t>
        </is>
      </c>
      <c r="G15" s="18" t="inlineStr">
        <is>
          <t>Tambahan fungsi dan status ASN.</t>
        </is>
      </c>
      <c r="H15" s="30" t="n"/>
      <c r="I15" s="30" t="n"/>
      <c r="J15" s="31">
        <f>IF(H15="","Open","Decided")</f>
        <v/>
      </c>
    </row>
    <row r="16" ht="42" customHeight="1">
      <c r="B16" s="22" t="n">
        <v>9</v>
      </c>
      <c r="C16" s="22" t="inlineStr">
        <is>
          <t>X12</t>
        </is>
      </c>
      <c r="D16" s="17" t="inlineStr">
        <is>
          <t>Pra Daily Order</t>
        </is>
      </c>
      <c r="E16" s="18" t="inlineStr">
        <is>
          <t>Struktur fisik TB_R_PRA_DAILY_ORDER_MANIFEST / PART dan cara menandai PO yang sudah terpasang.</t>
        </is>
      </c>
      <c r="F16" s="18" t="inlineStr">
        <is>
          <t>Tambah flag / qty terpakai di PART.</t>
        </is>
      </c>
      <c r="G16" s="18" t="inlineStr">
        <is>
          <t>Logika FIFO X12 belum final.</t>
        </is>
      </c>
      <c r="H16" s="30" t="n"/>
      <c r="I16" s="30" t="n"/>
      <c r="J16" s="31">
        <f>IF(H16="","Open","Decided")</f>
        <v/>
      </c>
    </row>
    <row r="17" ht="42" customHeight="1">
      <c r="B17" s="22" t="n">
        <v>10</v>
      </c>
      <c r="C17" s="22" t="inlineStr">
        <is>
          <t>X9-X12</t>
        </is>
      </c>
      <c r="D17" s="17" t="inlineStr">
        <is>
          <t>Jadwal &amp; retry</t>
        </is>
      </c>
      <c r="E17" s="18" t="inlineStr">
        <is>
          <t>Jadwal scheduler NSP untuk X9, X10, X11, X12 dan perlu auto retry seperti X6 / X7?</t>
        </is>
      </c>
      <c r="F17" s="18" t="inlineStr">
        <is>
          <t>Setelah data G-TOPAS tersedia; auto retry 3x.</t>
        </is>
      </c>
      <c r="G17" s="18" t="inlineStr">
        <is>
          <t>Schedule sheet di UISS masih TBC.</t>
        </is>
      </c>
      <c r="H17" s="30" t="n"/>
      <c r="I17" s="30" t="n"/>
      <c r="J17" s="31">
        <f>IF(H17="","Open","Decided")</f>
        <v/>
      </c>
    </row>
    <row r="18" ht="42" customHeight="1">
      <c r="B18" s="22" t="n">
        <v>11</v>
      </c>
      <c r="C18" s="22" t="inlineStr">
        <is>
          <t>X5</t>
        </is>
      </c>
      <c r="D18" s="17" t="inlineStr">
        <is>
          <t>Jadwal X5</t>
        </is>
      </c>
      <c r="E18" s="18" t="inlineStr">
        <is>
          <t>Tanggal / jam scheduler bulanan X5.</t>
        </is>
      </c>
      <c r="F18" s="18" t="inlineStr">
        <is>
          <t>Tanggal 1 jam 01:00, sebelum X6.</t>
        </is>
      </c>
      <c r="G18" s="18" t="inlineStr">
        <is>
          <t>Schedule sheet X5 / X6.</t>
        </is>
      </c>
      <c r="H18" s="30" t="n"/>
      <c r="I18" s="30" t="n"/>
      <c r="J18" s="31">
        <f>IF(H18="","Open","Decided")</f>
        <v/>
      </c>
    </row>
    <row r="19" ht="42" customHeight="1">
      <c r="B19" s="22" t="n">
        <v>12</v>
      </c>
      <c r="C19" s="22" t="inlineStr">
        <is>
          <t>X5 / X6</t>
        </is>
      </c>
      <c r="D19" s="17" t="inlineStr">
        <is>
          <t>X5 gagal</t>
        </is>
      </c>
      <c r="E19" s="18" t="inlineStr">
        <is>
          <t>Kalau X5 gagal, apakah X6 dibatalkan?</t>
        </is>
      </c>
      <c r="F19" s="18" t="inlineStr">
        <is>
          <t>Ya, X6 tidak jalan.</t>
        </is>
      </c>
      <c r="G19" s="18" t="inlineStr">
        <is>
          <t>Aturan dependensi batch.</t>
        </is>
      </c>
      <c r="H19" s="30" t="n"/>
      <c r="I19" s="30" t="n"/>
      <c r="J19" s="31">
        <f>IF(H19="","Open","Decided")</f>
        <v/>
      </c>
    </row>
    <row r="20" ht="42" customHeight="1">
      <c r="B20" s="22" t="n">
        <v>13</v>
      </c>
      <c r="C20" s="22" t="inlineStr">
        <is>
          <t>X5</t>
        </is>
      </c>
      <c r="D20" s="17" t="inlineStr">
        <is>
          <t>Kolom DAD</t>
        </is>
      </c>
      <c r="E20" s="18" t="inlineStr">
        <is>
          <t>Kolom DAD di Actual Demand Summary dipakai atau tidak?</t>
        </is>
      </c>
      <c r="F20" s="18" t="inlineStr">
        <is>
          <t>Tidak dipakai (hanya MAD).</t>
        </is>
      </c>
      <c r="G20" s="18" t="inlineStr">
        <is>
          <t>Mapping kolom X5.</t>
        </is>
      </c>
      <c r="H20" s="30" t="n"/>
      <c r="I20" s="30" t="n"/>
      <c r="J20" s="31">
        <f>IF(H20="","Open","Decided")</f>
        <v/>
      </c>
    </row>
    <row r="21" ht="42" customHeight="1">
      <c r="B21" s="22" t="n">
        <v>14</v>
      </c>
      <c r="C21" s="22" t="inlineStr">
        <is>
          <t>X5 / X7</t>
        </is>
      </c>
      <c r="D21" s="17" t="inlineStr">
        <is>
          <t>Order type N + S</t>
        </is>
      </c>
      <c r="E21" s="18" t="inlineStr">
        <is>
          <t>ORDER_TYPE_GROUP N dan S dijumlahkan (sementara). Final?</t>
        </is>
      </c>
      <c r="F21" s="18" t="inlineStr">
        <is>
          <t>Tetap dijumlahkan.</t>
        </is>
      </c>
      <c r="G21" s="18" t="inlineStr">
        <is>
          <t>Rumus MAD di X6 / X7.</t>
        </is>
      </c>
      <c r="H21" s="30" t="n"/>
      <c r="I21" s="30" t="n"/>
      <c r="J21" s="31">
        <f>IF(H21="","Open","Decided")</f>
        <v/>
      </c>
    </row>
    <row r="22" ht="42" customHeight="1">
      <c r="B22" s="22" t="n">
        <v>15</v>
      </c>
      <c r="C22" s="22" t="inlineStr">
        <is>
          <t>X10</t>
        </is>
      </c>
      <c r="D22" s="17" t="inlineStr">
        <is>
          <t>SERIAL_NO</t>
        </is>
      </c>
      <c r="E22" s="18" t="inlineStr">
        <is>
          <t>SERIAL_NO perlu ditambahkan di tabel / query H0253 sumber (DB Surrounding).</t>
        </is>
      </c>
      <c r="F22" s="18" t="inlineStr">
        <is>
          <t>Tim surrounding menambah kolom.</t>
        </is>
      </c>
      <c r="G22" s="18" t="inlineStr">
        <is>
          <t>Tanpa SERIAL_NO key H0253 tidak unik.</t>
        </is>
      </c>
      <c r="H22" s="30" t="n"/>
      <c r="I22" s="30" t="n"/>
      <c r="J22" s="31">
        <f>IF(H22="","Open","Decided")</f>
        <v/>
      </c>
    </row>
    <row r="23" ht="42" customHeight="1">
      <c r="B23" s="22" t="n">
        <v>16</v>
      </c>
      <c r="C23" s="22" t="inlineStr">
        <is>
          <t>X3</t>
        </is>
      </c>
      <c r="D23" s="17" t="inlineStr">
        <is>
          <t>RPA Sync</t>
        </is>
      </c>
      <c r="E23" s="18" t="inlineStr">
        <is>
          <t>Detail fungsi RPA: layar global system, urutan input, waktu proses, timeout, user ID RPA.</t>
        </is>
      </c>
      <c r="F23" s="18" t="inlineStr">
        <is>
          <t>Perlu sesi dengan tim RPA.</t>
        </is>
      </c>
      <c r="G23" s="18" t="inlineStr">
        <is>
          <t>UISS RPA belum bisa dibuat.</t>
        </is>
      </c>
      <c r="H23" s="30" t="n"/>
      <c r="I23" s="30" t="n"/>
      <c r="J23" s="31">
        <f>IF(H23="","Open","Decided")</f>
        <v/>
      </c>
    </row>
    <row r="24" ht="42" customHeight="1">
      <c r="B24" s="22" t="n">
        <v>17</v>
      </c>
      <c r="C24" s="22" t="inlineStr">
        <is>
          <t>X3</t>
        </is>
      </c>
      <c r="D24" s="17" t="inlineStr">
        <is>
          <t>UISS RPA</t>
        </is>
      </c>
      <c r="E24" s="18" t="inlineStr">
        <is>
          <t>Perlu UISS-Batch tersendiri untuk RPA Sync?</t>
        </is>
      </c>
      <c r="F24" s="18" t="inlineStr">
        <is>
          <t>Ya, X14.</t>
        </is>
      </c>
      <c r="G24" s="18" t="inlineStr">
        <is>
          <t>Tambahan dokumen.</t>
        </is>
      </c>
      <c r="H24" s="30" t="n"/>
      <c r="I24" s="30" t="n"/>
      <c r="J24" s="31">
        <f>IF(H24="","Open","Decided")</f>
        <v/>
      </c>
    </row>
    <row r="25" ht="42" customHeight="1">
      <c r="B25" s="22" t="n">
        <v>18</v>
      </c>
      <c r="C25" s="22" t="inlineStr">
        <is>
          <t>X3</t>
        </is>
      </c>
      <c r="D25" s="17" t="inlineStr">
        <is>
          <t>Status Waiting</t>
        </is>
      </c>
      <c r="E25" s="18" t="inlineStr">
        <is>
          <t>Apakah status Waiting (Sync) perlu batas waktu, lalu kembali ke Failed?</t>
        </is>
      </c>
      <c r="F25" s="18" t="inlineStr">
        <is>
          <t>Ya, 30 menit.</t>
        </is>
      </c>
      <c r="G25" s="18" t="inlineStr">
        <is>
          <t>Status sync bisa menggantung.</t>
        </is>
      </c>
      <c r="H25" s="30" t="n"/>
      <c r="I25" s="30" t="n"/>
      <c r="J25" s="31">
        <f>IF(H25="","Open","Decided")</f>
        <v/>
      </c>
    </row>
    <row r="26" ht="42" customHeight="1">
      <c r="B26" s="22" t="n">
        <v>19</v>
      </c>
      <c r="C26" s="22" t="inlineStr">
        <is>
          <t>X1-X4</t>
        </is>
      </c>
      <c r="D26" s="17" t="inlineStr">
        <is>
          <t>History</t>
        </is>
      </c>
      <c r="E26" s="18" t="inlineStr">
        <is>
          <t>Konfirmasi kolom dan retensi TB_H_PART_CANDIDATE (usulan 24 bulan).</t>
        </is>
      </c>
      <c r="F26" s="18" t="inlineStr">
        <is>
          <t>Pakai usulan.</t>
        </is>
      </c>
      <c r="G26" s="18" t="inlineStr">
        <is>
          <t>Appendix tabel history.</t>
        </is>
      </c>
      <c r="H26" s="30" t="n"/>
      <c r="I26" s="30" t="n"/>
      <c r="J26" s="31">
        <f>IF(H26="","Open","Decided")</f>
        <v/>
      </c>
    </row>
    <row r="27" ht="42" customHeight="1">
      <c r="B27" s="22" t="n">
        <v>20</v>
      </c>
      <c r="C27" s="22" t="inlineStr">
        <is>
          <t>X1-X4</t>
        </is>
      </c>
      <c r="D27" s="17" t="inlineStr">
        <is>
          <t>Panjang kolom</t>
        </is>
      </c>
      <c r="E27" s="18" t="inlineStr">
        <is>
          <t>Panjang VARCHAR kolom (PART_NO dll.) dan nama field Part Name di TB_M_PART_MASTER.</t>
        </is>
      </c>
      <c r="F27" s="18" t="inlineStr">
        <is>
          <t>Ikuti TB_M_PART_MASTER.</t>
        </is>
      </c>
      <c r="G27" s="18" t="inlineStr">
        <is>
          <t>Masih VARCHAR(TBD) di Appendix.</t>
        </is>
      </c>
      <c r="H27" s="30" t="n"/>
      <c r="I27" s="30" t="n"/>
      <c r="J27" s="31">
        <f>IF(H27="","Open","Decided")</f>
        <v/>
      </c>
    </row>
    <row r="28" ht="42" customHeight="1">
      <c r="B28" s="22" t="n">
        <v>21</v>
      </c>
      <c r="C28" s="22" t="inlineStr">
        <is>
          <t>X2 / X4</t>
        </is>
      </c>
      <c r="D28" s="17" t="inlineStr">
        <is>
          <t>Template &amp; log</t>
        </is>
      </c>
      <c r="E28" s="18" t="inlineStr">
        <is>
          <t>Lokasi file template dan result report; retensi Log upload.</t>
        </is>
      </c>
      <c r="F28" s="18" t="inlineStr">
        <is>
          <t>Shared folder NSP; retensi 12 bulan.</t>
        </is>
      </c>
      <c r="G28" s="18" t="inlineStr">
        <is>
          <t>Operation description upload.</t>
        </is>
      </c>
      <c r="H28" s="30" t="n"/>
      <c r="I28" s="30" t="n"/>
      <c r="J28" s="31">
        <f>IF(H28="","Open","Decided")</f>
        <v/>
      </c>
    </row>
    <row r="29" ht="42" customHeight="1">
      <c r="B29" s="22" t="n">
        <v>22</v>
      </c>
      <c r="C29" s="22" t="inlineStr">
        <is>
          <t>X1</t>
        </is>
      </c>
      <c r="D29" s="17" t="inlineStr">
        <is>
          <t>Akun read only</t>
        </is>
      </c>
      <c r="E29" s="18" t="inlineStr">
        <is>
          <t>Definisi akun read-only ([View]) untuk Part List.</t>
        </is>
      </c>
      <c r="F29" s="18" t="inlineStr">
        <is>
          <t>Role Viewer: hanya Search / Export.</t>
        </is>
      </c>
      <c r="G29" s="18" t="inlineStr">
        <is>
          <t>Screen mode View.</t>
        </is>
      </c>
      <c r="H29" s="30" t="n"/>
      <c r="I29" s="30" t="n"/>
      <c r="J29" s="31">
        <f>IF(H29="","Open","Decided")</f>
        <v/>
      </c>
    </row>
    <row r="30" ht="42" customHeight="1">
      <c r="B30" s="22" t="n">
        <v>23</v>
      </c>
      <c r="C30" s="22" t="inlineStr">
        <is>
          <t>X1</t>
        </is>
      </c>
      <c r="D30" s="17" t="inlineStr">
        <is>
          <t>Effective Start Date</t>
        </is>
      </c>
      <c r="E30" s="18" t="inlineStr">
        <is>
          <t>Kalimat "Effective Start Date" yang menggantung di Op Desc 5.4 a.4 (UISS X1): aturan apa yang dimaksud?</t>
        </is>
      </c>
      <c r="F30" s="18" t="inlineStr">
        <is>
          <t>Default besok, minimum hari ini, wajib diisi.</t>
        </is>
      </c>
      <c r="G30" s="18" t="inlineStr">
        <is>
          <t>Op Desc X1 belum lengkap.</t>
        </is>
      </c>
      <c r="H30" s="30" t="n"/>
      <c r="I30" s="30" t="n"/>
      <c r="J30" s="31">
        <f>IF(H30="","Open","Decided")</f>
        <v/>
      </c>
    </row>
  </sheetData>
  <conditionalFormatting sqref="J8:J30">
    <cfRule type="cellIs" priority="1" operator="equal" dxfId="0">
      <formula>"Open"</formula>
    </cfRule>
    <cfRule type="cellIs" priority="2" operator="equal" dxfId="1">
      <formula>"Decided"</formula>
    </cfRule>
  </conditionalFormatting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2:AP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21" customWidth="1" min="3" max="3"/>
    <col width="1.3" customWidth="1" min="4" max="4"/>
    <col width="2.4" customWidth="1" min="5" max="5"/>
    <col width="21" customWidth="1" min="6" max="6"/>
    <col width="1.3" customWidth="1" min="7" max="7"/>
    <col width="2.4" customWidth="1" min="8" max="8"/>
    <col width="21" customWidth="1" min="9" max="9"/>
    <col width="1.3" customWidth="1" min="10" max="10"/>
    <col width="2.4" customWidth="1" min="11" max="11"/>
    <col width="21" customWidth="1" min="12" max="12"/>
    <col width="1.3" customWidth="1" min="13" max="13"/>
    <col width="2.4" customWidth="1" min="14" max="14"/>
    <col width="21" customWidth="1" min="15" max="15"/>
    <col width="1.3" customWidth="1" min="16" max="16"/>
    <col width="2.4" customWidth="1" min="17" max="17"/>
    <col width="21" customWidth="1" min="18" max="18"/>
    <col width="1.3" customWidth="1" min="19" max="19"/>
    <col width="2.4" customWidth="1" min="20" max="20"/>
    <col width="4" customWidth="1" min="21" max="21"/>
    <col width="1.3" customWidth="1" min="22" max="22"/>
    <col width="2.4" customWidth="1" min="23" max="23"/>
    <col width="21" customWidth="1" min="24" max="24"/>
    <col width="1.3" customWidth="1" min="25" max="25"/>
    <col width="2.4" customWidth="1" min="26" max="26"/>
    <col width="21" customWidth="1" min="27" max="27"/>
    <col width="1.3" customWidth="1" min="28" max="28"/>
    <col width="2.4" customWidth="1" min="29" max="29"/>
    <col width="21" customWidth="1" min="30" max="30"/>
    <col width="1.3" customWidth="1" min="31" max="31"/>
    <col width="2.4" customWidth="1" min="32" max="32"/>
    <col width="21" customWidth="1" min="33" max="33"/>
    <col width="1.3" customWidth="1" min="34" max="34"/>
    <col width="2.4" customWidth="1" min="35" max="35"/>
    <col width="21" customWidth="1" min="36" max="36"/>
    <col width="1.3" customWidth="1" min="37" max="37"/>
    <col width="2.4" customWidth="1" min="38" max="38"/>
    <col width="21" customWidth="1" min="39" max="39"/>
    <col width="1.3" customWidth="1" min="40" max="40"/>
    <col width="2.4" customWidth="1" min="41" max="41"/>
  </cols>
  <sheetData>
    <row r="2">
      <c r="B2" s="1" t="inlineStr">
        <is>
          <t>Crossdock Optimization – Business Flow (Executive View)</t>
        </is>
      </c>
    </row>
    <row r="3">
      <c r="B3" s="2" t="inlineStr">
        <is>
          <t>Alur end-to-end: A. Master setup bulanan (part, kalkulasi, mapping) → B. Operasi harian (order, PO, ASN). Kode X = UISS / fungsi.</t>
        </is>
      </c>
    </row>
    <row r="4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</row>
    <row r="6" ht="22" customHeight="1">
      <c r="C6" s="32" t="inlineStr">
        <is>
          <t>A. MASTER SETUP (bulanan)</t>
        </is>
      </c>
      <c r="X6" s="33" t="inlineStr">
        <is>
          <t>B. OPERASI HARIAN</t>
        </is>
      </c>
    </row>
    <row r="8" ht="9" customHeight="1">
      <c r="B8" s="34" t="inlineStr">
        <is>
          <t>G-TOPAS /
DB Surrounding</t>
        </is>
      </c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6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5" t="n"/>
      <c r="AH8" s="35" t="n"/>
      <c r="AI8" s="35" t="n"/>
      <c r="AJ8" s="35" t="n"/>
      <c r="AK8" s="35" t="n"/>
      <c r="AL8" s="35" t="n"/>
      <c r="AM8" s="35" t="n"/>
    </row>
    <row r="9" ht="17" customHeight="1">
      <c r="B9" s="37" t="n"/>
      <c r="C9" s="38" t="inlineStr">
        <is>
          <r>
            <rPr>
              <rFont val="Arial"/>
              <b val="1"/>
              <color rgb="00C00000"/>
              <sz val="9"/>
            </rPr>
            <t xml:space="preserve">Source
</t>
          </r>
          <r>
            <rPr>
              <rFont val="Arial"/>
              <color rgb="00262626"/>
              <sz val="9"/>
            </rPr>
            <t>Actual demand &amp;
destination master</t>
          </r>
        </is>
      </c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6" t="n"/>
      <c r="V9" s="35" t="n"/>
      <c r="W9" s="35" t="n"/>
      <c r="X9" s="38" t="inlineStr">
        <is>
          <r>
            <rPr>
              <rFont val="Arial"/>
              <b val="1"/>
              <color rgb="00C00000"/>
              <sz val="9"/>
            </rPr>
            <t xml:space="preserve">Source
</t>
          </r>
          <r>
            <rPr>
              <rFont val="Arial"/>
              <color rgb="00262626"/>
              <sz val="9"/>
            </rPr>
            <t>Customer order
(crossdock, status 7)</t>
          </r>
        </is>
      </c>
      <c r="Y9" s="35" t="n"/>
      <c r="Z9" s="35" t="n"/>
      <c r="AA9" s="35" t="n"/>
      <c r="AB9" s="35" t="n"/>
      <c r="AC9" s="35" t="n"/>
      <c r="AD9" s="35" t="n"/>
      <c r="AE9" s="35" t="n"/>
      <c r="AF9" s="35" t="n"/>
      <c r="AG9" s="35" t="n"/>
      <c r="AH9" s="35" t="n"/>
      <c r="AI9" s="35" t="n"/>
      <c r="AJ9" s="35" t="n"/>
      <c r="AK9" s="35" t="n"/>
      <c r="AL9" s="35" t="n"/>
      <c r="AM9" s="35" t="n"/>
    </row>
    <row r="10" ht="17" customHeight="1">
      <c r="B10" s="37" t="n"/>
      <c r="C10" s="39" t="n"/>
      <c r="D10" s="40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6" t="n"/>
      <c r="V10" s="35" t="n"/>
      <c r="W10" s="35" t="n"/>
      <c r="X10" s="39" t="n"/>
      <c r="Y10" s="40" t="n"/>
      <c r="Z10" s="35" t="n"/>
      <c r="AA10" s="35" t="n"/>
      <c r="AB10" s="35" t="n"/>
      <c r="AC10" s="35" t="n"/>
      <c r="AD10" s="35" t="n"/>
      <c r="AE10" s="35" t="n"/>
      <c r="AF10" s="35" t="n"/>
      <c r="AG10" s="35" t="n"/>
      <c r="AH10" s="35" t="n"/>
      <c r="AI10" s="35" t="n"/>
      <c r="AJ10" s="35" t="n"/>
      <c r="AK10" s="35" t="n"/>
      <c r="AL10" s="35" t="n"/>
      <c r="AM10" s="35" t="n"/>
    </row>
    <row r="11" ht="17" customHeight="1">
      <c r="B11" s="37" t="n"/>
      <c r="C11" s="41" t="n"/>
      <c r="D11" s="40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6" t="n"/>
      <c r="V11" s="35" t="n"/>
      <c r="W11" s="35" t="n"/>
      <c r="X11" s="41" t="n"/>
      <c r="Y11" s="40" t="n"/>
      <c r="Z11" s="35" t="n"/>
      <c r="AA11" s="35" t="n"/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</row>
    <row r="12" ht="9" customHeight="1">
      <c r="B12" s="42" t="n"/>
      <c r="C12" s="43" t="n"/>
      <c r="D12" s="44" t="n"/>
      <c r="E12" s="43" t="n"/>
      <c r="F12" s="43" t="n"/>
      <c r="G12" s="43" t="n"/>
      <c r="H12" s="43" t="n"/>
      <c r="I12" s="43" t="n"/>
      <c r="J12" s="43" t="n"/>
      <c r="K12" s="43" t="n"/>
      <c r="L12" s="43" t="n"/>
      <c r="M12" s="43" t="n"/>
      <c r="N12" s="43" t="n"/>
      <c r="O12" s="43" t="n"/>
      <c r="P12" s="43" t="n"/>
      <c r="Q12" s="43" t="n"/>
      <c r="R12" s="43" t="n"/>
      <c r="S12" s="43" t="n"/>
      <c r="T12" s="43" t="n"/>
      <c r="U12" s="36" t="n"/>
      <c r="V12" s="43" t="n"/>
      <c r="W12" s="43" t="n"/>
      <c r="X12" s="43" t="n"/>
      <c r="Y12" s="44" t="n"/>
      <c r="Z12" s="43" t="n"/>
      <c r="AA12" s="43" t="n"/>
      <c r="AB12" s="43" t="n"/>
      <c r="AC12" s="43" t="n"/>
      <c r="AD12" s="43" t="n"/>
      <c r="AE12" s="43" t="n"/>
      <c r="AF12" s="43" t="n"/>
      <c r="AG12" s="43" t="n"/>
      <c r="AH12" s="43" t="n"/>
      <c r="AI12" s="43" t="n"/>
      <c r="AJ12" s="43" t="n"/>
      <c r="AK12" s="43" t="n"/>
      <c r="AL12" s="43" t="n"/>
      <c r="AM12" s="43" t="n"/>
    </row>
    <row r="13" ht="9" customHeight="1">
      <c r="B13" s="45" t="inlineStr">
        <is>
          <t>NSP Batch
(System)</t>
        </is>
      </c>
      <c r="C13" s="46" t="n"/>
      <c r="D13" s="40" t="n"/>
      <c r="E13" s="46" t="n"/>
      <c r="F13" s="46" t="n"/>
      <c r="G13" s="46" t="n"/>
      <c r="H13" s="46" t="n"/>
      <c r="I13" s="46" t="n"/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36" t="n"/>
      <c r="V13" s="46" t="n"/>
      <c r="W13" s="46" t="n"/>
      <c r="X13" s="46" t="n"/>
      <c r="Y13" s="40" t="n"/>
      <c r="Z13" s="46" t="n"/>
      <c r="AA13" s="46" t="n"/>
      <c r="AB13" s="46" t="n"/>
      <c r="AC13" s="46" t="n"/>
      <c r="AD13" s="46" t="n"/>
      <c r="AE13" s="46" t="n"/>
      <c r="AF13" s="46" t="n"/>
      <c r="AG13" s="46" t="n"/>
      <c r="AH13" s="46" t="n"/>
      <c r="AI13" s="46" t="n"/>
      <c r="AJ13" s="46" t="n"/>
      <c r="AK13" s="46" t="n"/>
      <c r="AL13" s="46" t="n"/>
      <c r="AM13" s="46" t="n"/>
    </row>
    <row r="14" ht="17" customHeight="1">
      <c r="B14" s="37" t="n"/>
      <c r="C14" s="46" t="n"/>
      <c r="D14" s="40" t="n"/>
      <c r="E14" s="46" t="n"/>
      <c r="F14" s="47" t="inlineStr">
        <is>
          <r>
            <rPr>
              <rFont val="Arial"/>
              <b val="1"/>
              <color rgb="00C00000"/>
              <sz val="9"/>
            </rPr>
            <t xml:space="preserve">X5 · X11
</t>
          </r>
          <r>
            <rPr>
              <rFont val="Arial"/>
              <color rgb="00262626"/>
              <sz val="9"/>
            </rPr>
            <t>Replicate data
to NSP</t>
          </r>
        </is>
      </c>
      <c r="G14" s="46" t="n"/>
      <c r="H14" s="46" t="n"/>
      <c r="I14" s="47" t="inlineStr">
        <is>
          <r>
            <rPr>
              <rFont val="Arial"/>
              <b val="1"/>
              <color rgb="00C00000"/>
              <sz val="9"/>
            </rPr>
            <t xml:space="preserve">X6
</t>
          </r>
          <r>
            <rPr>
              <rFont val="Arial"/>
              <color rgb="00262626"/>
              <sz val="9"/>
            </rPr>
            <t>DAD volume calc:
avg MAD ≥ Min MAD
→ Active / Inactive</t>
          </r>
        </is>
      </c>
      <c r="J14" s="46" t="n"/>
      <c r="K14" s="46" t="n"/>
      <c r="L14" s="47" t="inlineStr">
        <is>
          <r>
            <rPr>
              <rFont val="Arial"/>
              <b val="1"/>
              <color rgb="00C00000"/>
              <sz val="9"/>
            </rPr>
            <t xml:space="preserve">X7
</t>
          </r>
          <r>
            <rPr>
              <rFont val="Arial"/>
              <color rgb="00262626"/>
              <sz val="9"/>
            </rPr>
            <t>Mapping destination calc:
split Max Case/Day
per destination</t>
          </r>
        </is>
      </c>
      <c r="M14" s="46" t="n"/>
      <c r="N14" s="46" t="n"/>
      <c r="O14" s="46" t="n"/>
      <c r="P14" s="46" t="n"/>
      <c r="Q14" s="46" t="n"/>
      <c r="R14" s="46" t="n"/>
      <c r="S14" s="46" t="n"/>
      <c r="T14" s="46" t="n"/>
      <c r="U14" s="36" t="n"/>
      <c r="V14" s="46" t="n"/>
      <c r="W14" s="46" t="n"/>
      <c r="X14" s="46" t="n"/>
      <c r="Y14" s="40" t="n"/>
      <c r="Z14" s="46" t="n"/>
      <c r="AA14" s="47" t="inlineStr">
        <is>
          <r>
            <rPr>
              <rFont val="Arial"/>
              <b val="1"/>
              <color rgb="00C00000"/>
              <sz val="9"/>
            </rPr>
            <t xml:space="preserve">X9 · X10
</t>
          </r>
          <r>
            <rPr>
              <rFont val="Arial"/>
              <color rgb="00262626"/>
              <sz val="9"/>
            </rPr>
            <t>Replicate orders +
supplier PO
(Pra Daily Order)</t>
          </r>
        </is>
      </c>
      <c r="AB14" s="46" t="n"/>
      <c r="AC14" s="46" t="n"/>
      <c r="AD14" s="47" t="inlineStr">
        <is>
          <r>
            <rPr>
              <rFont val="Arial"/>
              <b val="1"/>
              <color rgb="00C00000"/>
              <sz val="9"/>
            </rPr>
            <t xml:space="preserve">X12
</t>
          </r>
          <r>
            <rPr>
              <rFont val="Arial"/>
              <color rgb="00262626"/>
              <sz val="9"/>
            </rPr>
            <t>Customer order ↔ PO
mapping (FIFO by
order date)</t>
          </r>
        </is>
      </c>
      <c r="AE14" s="46" t="n"/>
      <c r="AF14" s="46" t="n"/>
      <c r="AG14" s="46" t="n"/>
      <c r="AH14" s="46" t="n"/>
      <c r="AI14" s="46" t="n"/>
      <c r="AJ14" s="46" t="n"/>
      <c r="AK14" s="46" t="n"/>
      <c r="AL14" s="46" t="n"/>
      <c r="AM14" s="46" t="n"/>
    </row>
    <row r="15" ht="17" customHeight="1">
      <c r="B15" s="37" t="n"/>
      <c r="C15" s="46" t="n"/>
      <c r="D15" s="40" t="n"/>
      <c r="E15" s="48" t="inlineStr">
        <is>
          <t>►</t>
        </is>
      </c>
      <c r="F15" s="49" t="n"/>
      <c r="G15" s="40" t="n"/>
      <c r="H15" s="48" t="inlineStr">
        <is>
          <t>►</t>
        </is>
      </c>
      <c r="I15" s="49" t="n"/>
      <c r="J15" s="40" t="n"/>
      <c r="K15" s="48" t="inlineStr">
        <is>
          <t>►</t>
        </is>
      </c>
      <c r="L15" s="49" t="n"/>
      <c r="M15" s="40" t="n"/>
      <c r="N15" s="46" t="n"/>
      <c r="O15" s="46" t="n"/>
      <c r="P15" s="46" t="n"/>
      <c r="Q15" s="46" t="n"/>
      <c r="R15" s="46" t="n"/>
      <c r="S15" s="46" t="n"/>
      <c r="T15" s="46" t="n"/>
      <c r="U15" s="36" t="n"/>
      <c r="V15" s="46" t="n"/>
      <c r="W15" s="46" t="n"/>
      <c r="X15" s="46" t="n"/>
      <c r="Y15" s="40" t="n"/>
      <c r="Z15" s="48" t="inlineStr">
        <is>
          <t>►</t>
        </is>
      </c>
      <c r="AA15" s="49" t="n"/>
      <c r="AB15" s="40" t="n"/>
      <c r="AC15" s="48" t="inlineStr">
        <is>
          <t>►</t>
        </is>
      </c>
      <c r="AD15" s="49" t="n"/>
      <c r="AE15" s="40" t="n"/>
      <c r="AF15" s="46" t="n"/>
      <c r="AG15" s="46" t="n"/>
      <c r="AH15" s="46" t="n"/>
      <c r="AI15" s="46" t="n"/>
      <c r="AJ15" s="46" t="n"/>
      <c r="AK15" s="46" t="n"/>
      <c r="AL15" s="46" t="n"/>
      <c r="AM15" s="46" t="n"/>
    </row>
    <row r="16" ht="17" customHeight="1">
      <c r="B16" s="37" t="n"/>
      <c r="C16" s="46" t="n"/>
      <c r="D16" s="46" t="n"/>
      <c r="E16" s="46" t="n"/>
      <c r="F16" s="50" t="n"/>
      <c r="G16" s="40" t="n"/>
      <c r="H16" s="46" t="n"/>
      <c r="I16" s="50" t="n"/>
      <c r="J16" s="46" t="n"/>
      <c r="K16" s="46" t="n"/>
      <c r="L16" s="50" t="n"/>
      <c r="M16" s="40" t="n"/>
      <c r="N16" s="46" t="n"/>
      <c r="O16" s="46" t="n"/>
      <c r="P16" s="46" t="n"/>
      <c r="Q16" s="46" t="n"/>
      <c r="R16" s="46" t="n"/>
      <c r="S16" s="46" t="n"/>
      <c r="T16" s="46" t="n"/>
      <c r="U16" s="36" t="n"/>
      <c r="V16" s="46" t="n"/>
      <c r="W16" s="46" t="n"/>
      <c r="X16" s="46" t="n"/>
      <c r="Y16" s="46" t="n"/>
      <c r="Z16" s="46" t="n"/>
      <c r="AA16" s="50" t="n"/>
      <c r="AB16" s="46" t="n"/>
      <c r="AC16" s="46" t="n"/>
      <c r="AD16" s="50" t="n"/>
      <c r="AE16" s="40" t="n"/>
      <c r="AF16" s="46" t="n"/>
      <c r="AG16" s="46" t="n"/>
      <c r="AH16" s="46" t="n"/>
      <c r="AI16" s="46" t="n"/>
      <c r="AJ16" s="46" t="n"/>
      <c r="AK16" s="46" t="n"/>
      <c r="AL16" s="46" t="n"/>
      <c r="AM16" s="46" t="n"/>
    </row>
    <row r="17" ht="9" customHeight="1">
      <c r="B17" s="42" t="n"/>
      <c r="C17" s="51" t="n"/>
      <c r="D17" s="51" t="n"/>
      <c r="E17" s="51" t="n"/>
      <c r="F17" s="51" t="n"/>
      <c r="G17" s="44" t="n"/>
      <c r="H17" s="51" t="n"/>
      <c r="I17" s="51" t="n"/>
      <c r="J17" s="51" t="n"/>
      <c r="K17" s="51" t="n"/>
      <c r="L17" s="51" t="n"/>
      <c r="M17" s="44" t="n"/>
      <c r="N17" s="51" t="n"/>
      <c r="O17" s="51" t="n"/>
      <c r="P17" s="51" t="n"/>
      <c r="Q17" s="51" t="n"/>
      <c r="R17" s="51" t="n"/>
      <c r="S17" s="51" t="n"/>
      <c r="T17" s="51" t="n"/>
      <c r="U17" s="36" t="n"/>
      <c r="V17" s="51" t="n"/>
      <c r="W17" s="51" t="n"/>
      <c r="X17" s="51" t="n"/>
      <c r="Y17" s="51" t="n"/>
      <c r="Z17" s="51" t="n"/>
      <c r="AA17" s="51" t="n"/>
      <c r="AB17" s="51" t="n"/>
      <c r="AC17" s="51" t="n"/>
      <c r="AD17" s="51" t="n"/>
      <c r="AE17" s="44" t="n"/>
      <c r="AF17" s="51" t="n"/>
      <c r="AG17" s="51" t="n"/>
      <c r="AH17" s="51" t="n"/>
      <c r="AI17" s="51" t="n"/>
      <c r="AJ17" s="51" t="n"/>
      <c r="AK17" s="51" t="n"/>
      <c r="AL17" s="51" t="n"/>
      <c r="AM17" s="51" t="n"/>
    </row>
    <row r="18" ht="9" customHeight="1">
      <c r="B18" s="52" t="inlineStr">
        <is>
          <t>Procurement</t>
        </is>
      </c>
      <c r="C18" s="35" t="n"/>
      <c r="D18" s="35" t="n"/>
      <c r="E18" s="35" t="n"/>
      <c r="F18" s="35" t="n"/>
      <c r="G18" s="40" t="n"/>
      <c r="H18" s="35" t="n"/>
      <c r="I18" s="35" t="n"/>
      <c r="J18" s="35" t="n"/>
      <c r="K18" s="35" t="n"/>
      <c r="L18" s="35" t="n"/>
      <c r="M18" s="40" t="n"/>
      <c r="N18" s="35" t="n"/>
      <c r="O18" s="35" t="n"/>
      <c r="P18" s="35" t="n"/>
      <c r="Q18" s="35" t="n"/>
      <c r="R18" s="35" t="n"/>
      <c r="S18" s="35" t="n"/>
      <c r="T18" s="35" t="n"/>
      <c r="U18" s="36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40" t="n"/>
      <c r="AF18" s="35" t="n"/>
      <c r="AG18" s="35" t="n"/>
      <c r="AH18" s="35" t="n"/>
      <c r="AI18" s="35" t="n"/>
      <c r="AJ18" s="35" t="n"/>
      <c r="AK18" s="35" t="n"/>
      <c r="AL18" s="35" t="n"/>
      <c r="AM18" s="35" t="n"/>
    </row>
    <row r="19" ht="17" customHeight="1">
      <c r="B19" s="37" t="n"/>
      <c r="C19" s="35" t="n"/>
      <c r="D19" s="35" t="n"/>
      <c r="E19" s="35" t="n"/>
      <c r="F19" s="53" t="inlineStr">
        <is>
          <r>
            <rPr>
              <rFont val="Arial"/>
              <b val="1"/>
              <color rgb="00C00000"/>
              <sz val="9"/>
            </rPr>
            <t xml:space="preserve">X1 · X2
</t>
          </r>
          <r>
            <rPr>
              <rFont val="Arial"/>
              <color rgb="00262626"/>
              <sz val="9"/>
            </rPr>
            <t>Register candidate part
(Min MAD, Pcs/Case,
Max Case/Day)</t>
          </r>
        </is>
      </c>
      <c r="G19" s="40" t="n"/>
      <c r="H19" s="35" t="n"/>
      <c r="I19" s="35" t="n"/>
      <c r="J19" s="35" t="n"/>
      <c r="K19" s="35" t="n"/>
      <c r="L19" s="35" t="n"/>
      <c r="M19" s="40" t="n"/>
      <c r="N19" s="35" t="n"/>
      <c r="O19" s="35" t="n"/>
      <c r="P19" s="35" t="n"/>
      <c r="Q19" s="35" t="n"/>
      <c r="R19" s="35" t="n"/>
      <c r="S19" s="35" t="n"/>
      <c r="T19" s="35" t="n"/>
      <c r="U19" s="36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40" t="n"/>
      <c r="AF19" s="35" t="n"/>
      <c r="AG19" s="35" t="n"/>
      <c r="AH19" s="35" t="n"/>
      <c r="AI19" s="35" t="n"/>
      <c r="AJ19" s="35" t="n"/>
      <c r="AK19" s="35" t="n"/>
      <c r="AL19" s="35" t="n"/>
      <c r="AM19" s="35" t="n"/>
    </row>
    <row r="20" ht="17" customHeight="1">
      <c r="B20" s="37" t="n"/>
      <c r="C20" s="35" t="n"/>
      <c r="D20" s="35" t="n"/>
      <c r="E20" s="35" t="n"/>
      <c r="F20" s="54" t="n"/>
      <c r="G20" s="40" t="n"/>
      <c r="H20" s="35" t="n"/>
      <c r="I20" s="35" t="n"/>
      <c r="J20" s="35" t="n"/>
      <c r="K20" s="35" t="n"/>
      <c r="L20" s="35" t="n"/>
      <c r="M20" s="40" t="n"/>
      <c r="N20" s="35" t="n"/>
      <c r="O20" s="35" t="n"/>
      <c r="P20" s="35" t="n"/>
      <c r="Q20" s="35" t="n"/>
      <c r="R20" s="35" t="n"/>
      <c r="S20" s="35" t="n"/>
      <c r="T20" s="35" t="n"/>
      <c r="U20" s="36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40" t="n"/>
      <c r="AF20" s="35" t="n"/>
      <c r="AG20" s="35" t="n"/>
      <c r="AH20" s="35" t="n"/>
      <c r="AI20" s="35" t="n"/>
      <c r="AJ20" s="35" t="n"/>
      <c r="AK20" s="35" t="n"/>
      <c r="AL20" s="35" t="n"/>
      <c r="AM20" s="35" t="n"/>
    </row>
    <row r="21" ht="17" customHeight="1">
      <c r="B21" s="37" t="n"/>
      <c r="C21" s="35" t="n"/>
      <c r="D21" s="35" t="n"/>
      <c r="E21" s="35" t="n"/>
      <c r="F21" s="55" t="n"/>
      <c r="G21" s="35" t="n"/>
      <c r="H21" s="35" t="n"/>
      <c r="I21" s="35" t="n"/>
      <c r="J21" s="35" t="n"/>
      <c r="K21" s="35" t="n"/>
      <c r="L21" s="35" t="n"/>
      <c r="M21" s="40" t="n"/>
      <c r="N21" s="35" t="n"/>
      <c r="O21" s="35" t="n"/>
      <c r="P21" s="35" t="n"/>
      <c r="Q21" s="35" t="n"/>
      <c r="R21" s="35" t="n"/>
      <c r="S21" s="35" t="n"/>
      <c r="T21" s="35" t="n"/>
      <c r="U21" s="36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40" t="n"/>
      <c r="AF21" s="35" t="n"/>
      <c r="AG21" s="35" t="n"/>
      <c r="AH21" s="35" t="n"/>
      <c r="AI21" s="35" t="n"/>
      <c r="AJ21" s="35" t="n"/>
      <c r="AK21" s="35" t="n"/>
      <c r="AL21" s="35" t="n"/>
      <c r="AM21" s="35" t="n"/>
    </row>
    <row r="22" ht="9" customHeight="1">
      <c r="B22" s="42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43" t="n"/>
      <c r="M22" s="44" t="n"/>
      <c r="N22" s="43" t="n"/>
      <c r="O22" s="43" t="n"/>
      <c r="P22" s="43" t="n"/>
      <c r="Q22" s="43" t="n"/>
      <c r="R22" s="43" t="n"/>
      <c r="S22" s="43" t="n"/>
      <c r="T22" s="43" t="n"/>
      <c r="U22" s="36" t="n"/>
      <c r="V22" s="43" t="n"/>
      <c r="W22" s="43" t="n"/>
      <c r="X22" s="43" t="n"/>
      <c r="Y22" s="43" t="n"/>
      <c r="Z22" s="43" t="n"/>
      <c r="AA22" s="43" t="n"/>
      <c r="AB22" s="43" t="n"/>
      <c r="AC22" s="43" t="n"/>
      <c r="AD22" s="43" t="n"/>
      <c r="AE22" s="44" t="n"/>
      <c r="AF22" s="43" t="n"/>
      <c r="AG22" s="43" t="n"/>
      <c r="AH22" s="43" t="n"/>
      <c r="AI22" s="43" t="n"/>
      <c r="AJ22" s="43" t="n"/>
      <c r="AK22" s="43" t="n"/>
      <c r="AL22" s="43" t="n"/>
      <c r="AM22" s="43" t="n"/>
    </row>
    <row r="23" ht="9" customHeight="1">
      <c r="B23" s="56" t="inlineStr">
        <is>
          <t>D/S Team</t>
        </is>
      </c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0" t="n"/>
      <c r="N23" s="46" t="n"/>
      <c r="O23" s="46" t="n"/>
      <c r="P23" s="46" t="n"/>
      <c r="Q23" s="46" t="n"/>
      <c r="R23" s="46" t="n"/>
      <c r="S23" s="46" t="n"/>
      <c r="T23" s="46" t="n"/>
      <c r="U23" s="36" t="n"/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0" t="n"/>
      <c r="AF23" s="46" t="n"/>
      <c r="AG23" s="46" t="n"/>
      <c r="AH23" s="46" t="n"/>
      <c r="AI23" s="46" t="n"/>
      <c r="AJ23" s="46" t="n"/>
      <c r="AK23" s="46" t="n"/>
      <c r="AL23" s="46" t="n"/>
      <c r="AM23" s="46" t="n"/>
    </row>
    <row r="24" ht="17" customHeight="1">
      <c r="B24" s="37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0" t="n"/>
      <c r="N24" s="46" t="n"/>
      <c r="O24" s="57" t="inlineStr">
        <is>
          <r>
            <rPr>
              <rFont val="Arial"/>
              <b val="1"/>
              <color rgb="00C00000"/>
              <sz val="9"/>
            </rPr>
            <t xml:space="preserve">X3 · X4
</t>
          </r>
          <r>
            <rPr>
              <rFont val="Arial"/>
              <color rgb="00262626"/>
              <sz val="9"/>
            </rPr>
            <t>Review &amp; adjust
mapping per
destination</t>
          </r>
        </is>
      </c>
      <c r="P24" s="46" t="n"/>
      <c r="Q24" s="46" t="n"/>
      <c r="R24" s="46" t="n"/>
      <c r="S24" s="46" t="n"/>
      <c r="T24" s="46" t="n"/>
      <c r="U24" s="36" t="n"/>
      <c r="V24" s="46" t="n"/>
      <c r="W24" s="46" t="n"/>
      <c r="X24" s="46" t="n"/>
      <c r="Y24" s="46" t="n"/>
      <c r="Z24" s="46" t="n"/>
      <c r="AA24" s="46" t="n"/>
      <c r="AB24" s="46" t="n"/>
      <c r="AC24" s="46" t="n"/>
      <c r="AD24" s="46" t="n"/>
      <c r="AE24" s="40" t="n"/>
      <c r="AF24" s="46" t="n"/>
      <c r="AG24" s="57" t="inlineStr">
        <is>
          <r>
            <rPr>
              <rFont val="Arial"/>
              <b val="1"/>
              <color rgb="00C00000"/>
              <sz val="9"/>
            </rPr>
            <t xml:space="preserve">X8 detail
</t>
          </r>
          <r>
            <rPr>
              <rFont val="Arial"/>
              <color rgb="00262626"/>
              <sz val="9"/>
            </rPr>
            <t>Monitor delivery plan
(destination, pcs)</t>
          </r>
        </is>
      </c>
      <c r="AH24" s="46" t="n"/>
      <c r="AI24" s="46" t="n"/>
      <c r="AJ24" s="46" t="n"/>
      <c r="AK24" s="46" t="n"/>
      <c r="AL24" s="46" t="n"/>
      <c r="AM24" s="46" t="n"/>
    </row>
    <row r="25" ht="17" customHeight="1">
      <c r="B25" s="37" t="n"/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0" t="n"/>
      <c r="N25" s="48" t="inlineStr">
        <is>
          <t>►</t>
        </is>
      </c>
      <c r="O25" s="58" t="n"/>
      <c r="P25" s="40" t="n"/>
      <c r="Q25" s="46" t="n"/>
      <c r="R25" s="46" t="n"/>
      <c r="S25" s="46" t="n"/>
      <c r="T25" s="46" t="n"/>
      <c r="U25" s="36" t="n"/>
      <c r="V25" s="46" t="n"/>
      <c r="W25" s="46" t="n"/>
      <c r="X25" s="46" t="n"/>
      <c r="Y25" s="46" t="n"/>
      <c r="Z25" s="46" t="n"/>
      <c r="AA25" s="46" t="n"/>
      <c r="AB25" s="46" t="n"/>
      <c r="AC25" s="46" t="n"/>
      <c r="AD25" s="46" t="n"/>
      <c r="AE25" s="40" t="n"/>
      <c r="AF25" s="48" t="inlineStr">
        <is>
          <t>►</t>
        </is>
      </c>
      <c r="AG25" s="58" t="n"/>
      <c r="AH25" s="46" t="n"/>
      <c r="AI25" s="46" t="n"/>
      <c r="AJ25" s="46" t="n"/>
      <c r="AK25" s="46" t="n"/>
      <c r="AL25" s="46" t="n"/>
      <c r="AM25" s="46" t="n"/>
    </row>
    <row r="26" ht="17" customHeight="1">
      <c r="B26" s="37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59" t="n"/>
      <c r="P26" s="40" t="n"/>
      <c r="Q26" s="46" t="n"/>
      <c r="R26" s="46" t="n"/>
      <c r="S26" s="46" t="n"/>
      <c r="T26" s="46" t="n"/>
      <c r="U26" s="36" t="n"/>
      <c r="V26" s="46" t="n"/>
      <c r="W26" s="46" t="n"/>
      <c r="X26" s="46" t="n"/>
      <c r="Y26" s="46" t="n"/>
      <c r="Z26" s="46" t="n"/>
      <c r="AA26" s="46" t="n"/>
      <c r="AB26" s="46" t="n"/>
      <c r="AC26" s="46" t="n"/>
      <c r="AD26" s="46" t="n"/>
      <c r="AE26" s="40" t="n"/>
      <c r="AF26" s="46" t="n"/>
      <c r="AG26" s="59" t="n"/>
      <c r="AH26" s="46" t="n"/>
      <c r="AI26" s="46" t="n"/>
      <c r="AJ26" s="46" t="n"/>
      <c r="AK26" s="46" t="n"/>
      <c r="AL26" s="46" t="n"/>
      <c r="AM26" s="46" t="n"/>
    </row>
    <row r="27" ht="9" customHeight="1">
      <c r="B27" s="42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44" t="n"/>
      <c r="Q27" s="51" t="n"/>
      <c r="R27" s="51" t="n"/>
      <c r="S27" s="51" t="n"/>
      <c r="T27" s="51" t="n"/>
      <c r="U27" s="36" t="n"/>
      <c r="V27" s="51" t="n"/>
      <c r="W27" s="51" t="n"/>
      <c r="X27" s="51" t="n"/>
      <c r="Y27" s="51" t="n"/>
      <c r="Z27" s="51" t="n"/>
      <c r="AA27" s="51" t="n"/>
      <c r="AB27" s="51" t="n"/>
      <c r="AC27" s="51" t="n"/>
      <c r="AD27" s="51" t="n"/>
      <c r="AE27" s="44" t="n"/>
      <c r="AF27" s="51" t="n"/>
      <c r="AG27" s="51" t="n"/>
      <c r="AH27" s="51" t="n"/>
      <c r="AI27" s="51" t="n"/>
      <c r="AJ27" s="51" t="n"/>
      <c r="AK27" s="51" t="n"/>
      <c r="AL27" s="51" t="n"/>
      <c r="AM27" s="51" t="n"/>
    </row>
    <row r="28" ht="9" customHeight="1">
      <c r="B28" s="60" t="inlineStr">
        <is>
          <t>Supplier</t>
        </is>
      </c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40" t="n"/>
      <c r="Q28" s="35" t="n"/>
      <c r="R28" s="35" t="n"/>
      <c r="S28" s="35" t="n"/>
      <c r="T28" s="35" t="n"/>
      <c r="U28" s="36" t="n"/>
      <c r="V28" s="35" t="n"/>
      <c r="W28" s="35" t="n"/>
      <c r="X28" s="35" t="n"/>
      <c r="Y28" s="35" t="n"/>
      <c r="Z28" s="35" t="n"/>
      <c r="AA28" s="35" t="n"/>
      <c r="AB28" s="35" t="n"/>
      <c r="AC28" s="35" t="n"/>
      <c r="AD28" s="35" t="n"/>
      <c r="AE28" s="40" t="n"/>
      <c r="AF28" s="35" t="n"/>
      <c r="AG28" s="35" t="n"/>
      <c r="AH28" s="35" t="n"/>
      <c r="AI28" s="35" t="n"/>
      <c r="AJ28" s="35" t="n"/>
      <c r="AK28" s="35" t="n"/>
      <c r="AL28" s="35" t="n"/>
      <c r="AM28" s="35" t="n"/>
    </row>
    <row r="29" ht="17" customHeight="1">
      <c r="B29" s="37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40" t="n"/>
      <c r="Q29" s="35" t="n"/>
      <c r="R29" s="35" t="n"/>
      <c r="S29" s="35" t="n"/>
      <c r="T29" s="35" t="n"/>
      <c r="U29" s="36" t="n"/>
      <c r="V29" s="35" t="n"/>
      <c r="W29" s="35" t="n"/>
      <c r="X29" s="35" t="n"/>
      <c r="Y29" s="35" t="n"/>
      <c r="Z29" s="35" t="n"/>
      <c r="AA29" s="35" t="n"/>
      <c r="AB29" s="35" t="n"/>
      <c r="AC29" s="35" t="n"/>
      <c r="AD29" s="35" t="n"/>
      <c r="AE29" s="40" t="n"/>
      <c r="AF29" s="35" t="n"/>
      <c r="AG29" s="61" t="inlineStr">
        <is>
          <r>
            <rPr>
              <rFont val="Arial"/>
              <b val="1"/>
              <color rgb="00C00000"/>
              <sz val="9"/>
            </rPr>
            <t xml:space="preserve">X8
</t>
          </r>
          <r>
            <rPr>
              <rFont val="Arial"/>
              <color rgb="00262626"/>
              <sz val="9"/>
            </rPr>
            <t>ASN Crossdock Creation:
ready units → cases
→ Submit ASN</t>
          </r>
        </is>
      </c>
      <c r="AH29" s="35" t="n"/>
      <c r="AI29" s="35" t="n"/>
      <c r="AJ29" s="61" t="inlineStr">
        <is>
          <r>
            <rPr>
              <rFont val="Arial"/>
              <b val="1"/>
              <color rgb="00C00000"/>
              <sz val="9"/>
            </rPr>
            <t xml:space="preserve">X13
</t>
          </r>
          <r>
            <rPr>
              <rFont val="Arial"/>
              <color rgb="00262626"/>
              <sz val="9"/>
            </rPr>
            <t>ASN Inquiry &amp;
case label</t>
          </r>
        </is>
      </c>
      <c r="AK29" s="35" t="n"/>
      <c r="AL29" s="35" t="n"/>
      <c r="AM29" s="62" t="inlineStr">
        <is>
          <r>
            <rPr>
              <rFont val="Arial"/>
              <b val="1"/>
              <color rgb="007F7F7F"/>
              <sz val="9"/>
            </rPr>
            <t xml:space="preserve">Next scope
</t>
          </r>
          <r>
            <rPr>
              <rFont val="Arial"/>
              <i val="1"/>
              <color rgb="007F7F7F"/>
              <sz val="9"/>
            </rPr>
            <t>Deliver cases to
crossdock</t>
          </r>
        </is>
      </c>
    </row>
    <row r="30" ht="17" customHeight="1">
      <c r="B30" s="37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40" t="n"/>
      <c r="Q30" s="35" t="n"/>
      <c r="R30" s="35" t="n"/>
      <c r="S30" s="35" t="n"/>
      <c r="T30" s="35" t="n"/>
      <c r="U30" s="36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40" t="n"/>
      <c r="AF30" s="63" t="inlineStr">
        <is>
          <t>►</t>
        </is>
      </c>
      <c r="AG30" s="64" t="n"/>
      <c r="AH30" s="40" t="n"/>
      <c r="AI30" s="63" t="inlineStr">
        <is>
          <t>►</t>
        </is>
      </c>
      <c r="AJ30" s="64" t="n"/>
      <c r="AK30" s="40" t="n"/>
      <c r="AL30" s="63" t="inlineStr">
        <is>
          <t>►</t>
        </is>
      </c>
      <c r="AM30" s="65" t="n"/>
    </row>
    <row r="31" ht="17" customHeight="1">
      <c r="B31" s="37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40" t="n"/>
      <c r="Q31" s="35" t="n"/>
      <c r="R31" s="35" t="n"/>
      <c r="S31" s="35" t="n"/>
      <c r="T31" s="35" t="n"/>
      <c r="U31" s="36" t="n"/>
      <c r="V31" s="35" t="n"/>
      <c r="W31" s="35" t="n"/>
      <c r="X31" s="35" t="n"/>
      <c r="Y31" s="35" t="n"/>
      <c r="Z31" s="35" t="n"/>
      <c r="AA31" s="35" t="n"/>
      <c r="AB31" s="35" t="n"/>
      <c r="AC31" s="35" t="n"/>
      <c r="AD31" s="35" t="n"/>
      <c r="AE31" s="35" t="n"/>
      <c r="AF31" s="35" t="n"/>
      <c r="AG31" s="66" t="n"/>
      <c r="AH31" s="35" t="n"/>
      <c r="AI31" s="35" t="n"/>
      <c r="AJ31" s="66" t="n"/>
      <c r="AK31" s="35" t="n"/>
      <c r="AL31" s="35" t="n"/>
      <c r="AM31" s="67" t="n"/>
    </row>
    <row r="32" ht="9" customHeight="1">
      <c r="B32" s="42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4" t="n"/>
      <c r="Q32" s="43" t="n"/>
      <c r="R32" s="43" t="n"/>
      <c r="S32" s="43" t="n"/>
      <c r="T32" s="43" t="n"/>
      <c r="U32" s="36" t="n"/>
      <c r="V32" s="43" t="n"/>
      <c r="W32" s="43" t="n"/>
      <c r="X32" s="43" t="n"/>
      <c r="Y32" s="43" t="n"/>
      <c r="Z32" s="43" t="n"/>
      <c r="AA32" s="43" t="n"/>
      <c r="AB32" s="43" t="n"/>
      <c r="AC32" s="43" t="n"/>
      <c r="AD32" s="43" t="n"/>
      <c r="AE32" s="43" t="n"/>
      <c r="AF32" s="43" t="n"/>
      <c r="AG32" s="43" t="n"/>
      <c r="AH32" s="43" t="n"/>
      <c r="AI32" s="43" t="n"/>
      <c r="AJ32" s="43" t="n"/>
      <c r="AK32" s="43" t="n"/>
      <c r="AL32" s="43" t="n"/>
      <c r="AM32" s="43" t="n"/>
    </row>
    <row r="33" ht="9" customHeight="1">
      <c r="B33" s="68" t="inlineStr">
        <is>
          <t>Global System
(TMMIN)</t>
        </is>
      </c>
      <c r="C33" s="46" t="n"/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  <c r="O33" s="46" t="n"/>
      <c r="P33" s="40" t="n"/>
      <c r="Q33" s="46" t="n"/>
      <c r="R33" s="46" t="n"/>
      <c r="S33" s="46" t="n"/>
      <c r="T33" s="46" t="n"/>
      <c r="U33" s="36" t="n"/>
      <c r="V33" s="46" t="n"/>
      <c r="W33" s="46" t="n"/>
      <c r="X33" s="46" t="n"/>
      <c r="Y33" s="46" t="n"/>
      <c r="Z33" s="46" t="n"/>
      <c r="AA33" s="46" t="n"/>
      <c r="AB33" s="46" t="n"/>
      <c r="AC33" s="46" t="n"/>
      <c r="AD33" s="46" t="n"/>
      <c r="AE33" s="46" t="n"/>
      <c r="AF33" s="46" t="n"/>
      <c r="AG33" s="46" t="n"/>
      <c r="AH33" s="46" t="n"/>
      <c r="AI33" s="46" t="n"/>
      <c r="AJ33" s="46" t="n"/>
      <c r="AK33" s="46" t="n"/>
      <c r="AL33" s="46" t="n"/>
      <c r="AM33" s="46" t="n"/>
    </row>
    <row r="34" ht="17" customHeight="1">
      <c r="B34" s="37" t="n"/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0" t="n"/>
      <c r="Q34" s="46" t="n"/>
      <c r="R34" s="69" t="inlineStr">
        <is>
          <r>
            <rPr>
              <rFont val="Arial"/>
              <b val="1"/>
              <color rgb="00C00000"/>
              <sz val="9"/>
            </rPr>
            <t xml:space="preserve">X3 Sync (RPA)
</t>
          </r>
          <r>
            <rPr>
              <rFont val="Arial"/>
              <color rgb="00262626"/>
              <sz val="9"/>
            </rPr>
            <t>Mapping synced
to global system</t>
          </r>
        </is>
      </c>
      <c r="S34" s="46" t="n"/>
      <c r="T34" s="46" t="n"/>
      <c r="U34" s="36" t="n"/>
      <c r="V34" s="46" t="n"/>
      <c r="W34" s="46" t="n"/>
      <c r="X34" s="46" t="n"/>
      <c r="Y34" s="46" t="n"/>
      <c r="Z34" s="46" t="n"/>
      <c r="AA34" s="46" t="n"/>
      <c r="AB34" s="46" t="n"/>
      <c r="AC34" s="46" t="n"/>
      <c r="AD34" s="46" t="n"/>
      <c r="AE34" s="46" t="n"/>
      <c r="AF34" s="46" t="n"/>
      <c r="AG34" s="46" t="n"/>
      <c r="AH34" s="46" t="n"/>
      <c r="AI34" s="46" t="n"/>
      <c r="AJ34" s="46" t="n"/>
      <c r="AK34" s="46" t="n"/>
      <c r="AL34" s="46" t="n"/>
      <c r="AM34" s="46" t="n"/>
    </row>
    <row r="35" ht="17" customHeight="1">
      <c r="B35" s="37" t="n"/>
      <c r="C35" s="46" t="n"/>
      <c r="D35" s="46" t="n"/>
      <c r="E35" s="46" t="n"/>
      <c r="F35" s="46" t="n"/>
      <c r="G35" s="46" t="n"/>
      <c r="H35" s="46" t="n"/>
      <c r="I35" s="46" t="n"/>
      <c r="J35" s="46" t="n"/>
      <c r="K35" s="46" t="n"/>
      <c r="L35" s="46" t="n"/>
      <c r="M35" s="46" t="n"/>
      <c r="N35" s="46" t="n"/>
      <c r="O35" s="46" t="n"/>
      <c r="P35" s="40" t="n"/>
      <c r="Q35" s="48" t="inlineStr">
        <is>
          <t>►</t>
        </is>
      </c>
      <c r="R35" s="70" t="n"/>
      <c r="S35" s="46" t="n"/>
      <c r="T35" s="46" t="n"/>
      <c r="U35" s="3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  <c r="AG35" s="46" t="n"/>
      <c r="AH35" s="46" t="n"/>
      <c r="AI35" s="46" t="n"/>
      <c r="AJ35" s="46" t="n"/>
      <c r="AK35" s="46" t="n"/>
      <c r="AL35" s="46" t="n"/>
      <c r="AM35" s="46" t="n"/>
    </row>
    <row r="36" ht="17" customHeight="1">
      <c r="B36" s="37" t="n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71" t="n"/>
      <c r="S36" s="46" t="n"/>
      <c r="T36" s="46" t="n"/>
      <c r="U36" s="36" t="n"/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6" t="n"/>
      <c r="AG36" s="46" t="n"/>
      <c r="AH36" s="46" t="n"/>
      <c r="AI36" s="46" t="n"/>
      <c r="AJ36" s="46" t="n"/>
      <c r="AK36" s="46" t="n"/>
      <c r="AL36" s="46" t="n"/>
      <c r="AM36" s="46" t="n"/>
    </row>
    <row r="37" ht="9" customHeight="1">
      <c r="B37" s="42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36" t="n"/>
      <c r="V37" s="51" t="n"/>
      <c r="W37" s="51" t="n"/>
      <c r="X37" s="51" t="n"/>
      <c r="Y37" s="51" t="n"/>
      <c r="Z37" s="51" t="n"/>
      <c r="AA37" s="51" t="n"/>
      <c r="AB37" s="51" t="n"/>
      <c r="AC37" s="51" t="n"/>
      <c r="AD37" s="51" t="n"/>
      <c r="AE37" s="51" t="n"/>
      <c r="AF37" s="51" t="n"/>
      <c r="AG37" s="51" t="n"/>
      <c r="AH37" s="51" t="n"/>
      <c r="AI37" s="51" t="n"/>
      <c r="AJ37" s="51" t="n"/>
      <c r="AK37" s="51" t="n"/>
      <c r="AL37" s="51" t="n"/>
      <c r="AM37" s="51" t="n"/>
    </row>
    <row r="39">
      <c r="R39" s="72" t="inlineStr">
        <is>
          <t>Mapping hasil Fase A dipakai untuk order crossdock (status 7) di Fase B.</t>
        </is>
      </c>
    </row>
    <row r="41">
      <c r="C41" s="73" t="inlineStr">
        <is>
          <t>Aturan kunci – Fase A</t>
        </is>
      </c>
      <c r="X41" s="73" t="inlineStr">
        <is>
          <t>Aturan kunci – Fase B</t>
        </is>
      </c>
    </row>
    <row r="42" ht="17" customHeight="1">
      <c r="C42" s="74" t="inlineStr">
        <is>
          <t>1.  Part didaftarkan Procurement dengan Min MAD sebagai acuan.</t>
        </is>
      </c>
      <c r="X42" s="74" t="inlineStr">
        <is>
          <t>1.  Unit ASN = Part Number + Customer Order Date, selalu masuk 1 ASN utuh.</t>
        </is>
      </c>
    </row>
    <row r="43" ht="17" customHeight="1">
      <c r="C43" s="74" t="inlineStr">
        <is>
          <t>2.  DAD calc: rata-rata MAD N bulan ≥ Min MAD → Active, selain itu Inactive.</t>
        </is>
      </c>
      <c r="X43" s="74" t="inlineStr">
        <is>
          <t>2.  Order dipasangkan ke PO supplier secara FIFO berdasarkan order date.</t>
        </is>
      </c>
    </row>
    <row r="44" ht="17" customHeight="1">
      <c r="C44" s="74" t="inlineStr">
        <is>
          <t>3.  Mapping calc: Max Case/Day dibagi per destinasi sesuai porsi MAD (min. 1 case).</t>
        </is>
      </c>
      <c r="X44" s="74" t="inlineStr">
        <is>
          <t>3.  1 case per Part + Order Date + destinasi; beda part = beda case.</t>
        </is>
      </c>
    </row>
    <row r="45" ht="17" customHeight="1">
      <c r="C45" s="74" t="inlineStr">
        <is>
          <t>4.  D/S team bisa menyesuaikan mapping; perubahan dikirim ke global system via RPA.</t>
        </is>
      </c>
      <c r="X45" s="74" t="inlineStr">
        <is>
          <t>4.  Supplier melihat level case; detail destinasi &amp; pcs hanya untuk D/S team.</t>
        </is>
      </c>
    </row>
    <row r="47">
      <c r="B47" s="26" t="inlineStr">
        <is>
          <t>Legenda</t>
        </is>
      </c>
    </row>
    <row r="48">
      <c r="B48" s="75" t="n"/>
      <c r="C48" s="76" t="inlineStr">
        <is>
          <t>Kotak = langkah / fungsi; kode merah = UISS (X1-X13)</t>
        </is>
      </c>
    </row>
    <row r="49">
      <c r="B49" s="77" t="n"/>
      <c r="C49" s="76" t="inlineStr">
        <is>
          <t>Panah = urutan alur</t>
        </is>
      </c>
    </row>
    <row r="50">
      <c r="B50" s="78" t="n"/>
      <c r="C50" s="76" t="inlineStr">
        <is>
          <t>Abu-abu putus-putus = scope berikutnya (belum didesain)</t>
        </is>
      </c>
    </row>
    <row r="51">
      <c r="B51" s="79" t="n"/>
      <c r="C51" s="76" t="inlineStr">
        <is>
          <t>Garis merah putus-putus = batas fase</t>
        </is>
      </c>
    </row>
  </sheetData>
  <mergeCells count="33">
    <mergeCell ref="X45:AM45"/>
    <mergeCell ref="X41:AM41"/>
    <mergeCell ref="B28:B32"/>
    <mergeCell ref="I14:I16"/>
    <mergeCell ref="AJ29:AJ31"/>
    <mergeCell ref="AG24:AG26"/>
    <mergeCell ref="F14:F16"/>
    <mergeCell ref="X9:X11"/>
    <mergeCell ref="X44:AM44"/>
    <mergeCell ref="B33:B37"/>
    <mergeCell ref="R39:AA39"/>
    <mergeCell ref="AG29:AG31"/>
    <mergeCell ref="X43:AM43"/>
    <mergeCell ref="AA14:AA16"/>
    <mergeCell ref="F19:F21"/>
    <mergeCell ref="C6:R6"/>
    <mergeCell ref="C42:R42"/>
    <mergeCell ref="AD14:AD16"/>
    <mergeCell ref="C45:R45"/>
    <mergeCell ref="O24:O26"/>
    <mergeCell ref="R34:R36"/>
    <mergeCell ref="AM29:AM31"/>
    <mergeCell ref="X42:AM42"/>
    <mergeCell ref="C41:R41"/>
    <mergeCell ref="B18:B22"/>
    <mergeCell ref="C44:R44"/>
    <mergeCell ref="B8:B12"/>
    <mergeCell ref="B13:B17"/>
    <mergeCell ref="C43:R43"/>
    <mergeCell ref="L14:L16"/>
    <mergeCell ref="B23:B27"/>
    <mergeCell ref="X6:AM6"/>
    <mergeCell ref="C9:C1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2026-10-14T23:54:31Z</dcterms:created>
  <dcterms:modified xmlns:dcterms="http://purl.org/dc/terms/" xmlns:xsi="http://www.w3.org/2001/XMLSchema-instance" xsi:type="dcterms:W3CDTF">2026-10-14T23:54:31Z</dcterms:modified>
</cp:coreProperties>
</file>